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Inputs" sheetId="2" r:id="rId2"/>
    <sheet name="Model" sheetId="3" r:id="rId3"/>
    <sheet name="Valuation" sheetId="4" r:id="rId4"/>
    <sheet name="Charts" sheetId="5" r:id="rId5"/>
    <sheet name="Checks" sheetId="6" r:id="rId6"/>
  </sheets>
  <definedNames>
    <definedName name="k_Inputs_case">Inputs!$A$5</definedName>
    <definedName name="k_Inputs_case_idx">Inputs!$A$6</definedName>
    <definedName name="k_Inputs_g">Inputs!$A$22</definedName>
    <definedName name="k_Inputs_j24">Inputs!$A$9</definedName>
    <definedName name="k_Inputs_j26">Inputs!$A$8</definedName>
    <definedName name="k_Inputs_m0">Inputs!$A$18</definedName>
    <definedName name="k_Inputs_price">Inputs!$A$11</definedName>
    <definedName name="k_Inputs_roic">Inputs!$A$16</definedName>
    <definedName name="k_Inputs_s2c">Inputs!$A$15</definedName>
    <definedName name="k_Inputs_shares">Inputs!$A$12</definedName>
    <definedName name="k_Inputs_target_margin">Inputs!$A$21</definedName>
    <definedName name="k_Inputs_tax">Inputs!$A$14</definedName>
    <definedName name="k_Inputs_w27">Inputs!$A$19</definedName>
    <definedName name="k_Inputs_wacc">Inputs!$A$17</definedName>
    <definedName name="k_Model_df">Model!$A$21</definedName>
    <definedName name="k_Model_ebit">Model!$A$17</definedName>
    <definedName name="k_Model_fcf">Model!$A$20</definedName>
    <definedName name="k_Model_growth">Model!$A$13</definedName>
    <definedName name="k_Model_growth_base">Model!$A$11</definedName>
    <definedName name="k_Model_growth_bear">Model!$A$10</definedName>
    <definedName name="k_Model_growth_bull">Model!$A$12</definedName>
    <definedName name="k_Model_margin">Model!$A$16</definedName>
    <definedName name="k_Model_nopat">Model!$A$18</definedName>
    <definedName name="k_Model_pv">Model!$A$22</definedName>
    <definedName name="k_Model_reinv">Model!$A$19</definedName>
    <definedName name="k_Model_rev">Model!$A$14</definedName>
    <definedName name="k_Model_t">Model!$A$5</definedName>
    <definedName name="k_Model_t_end">Model!$A$7</definedName>
    <definedName name="k_Model_t_mid">Model!$A$8</definedName>
    <definedName name="k_Model_w">Model!$A$6</definedName>
    <definedName name="k_Valuation_ebit31">Valuation!$A$15</definedName>
    <definedName name="k_Valuation_eps31">Valuation!$A$16</definedName>
    <definedName name="k_Valuation_ev">Valuation!$A$10</definedName>
    <definedName name="k_Valuation_nopat_next">Valuation!$A$5</definedName>
    <definedName name="k_Valuation_pct_price">Valuation!$A$12</definedName>
    <definedName name="k_Valuation_per_share">Valuation!$A$11</definedName>
    <definedName name="k_Valuation_pv_fcf">Valuation!$A$9</definedName>
    <definedName name="k_Valuation_pv_tv">Valuation!$A$7</definedName>
    <definedName name="k_Valuation_tv">Valuation!$A$6</definedName>
    <definedName name="k_Valuation_tv_share">Valuation!$A$13</definedName>
    <definedName name="k_Valuation_vs_peak">Valuation!$A$17</definedName>
    <definedName name="MasterCheck">Checks!$D$9</definedName>
    <definedName name="_xlnm.Print_Titles" localSheetId="1">Inputs!$1:$3</definedName>
    <definedName name="_xlnm.Print_Titles" localSheetId="2">Model!$1:$3</definedName>
    <definedName name="_xlnm.Print_Titles" localSheetId="3">Valuation!$1:$3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8" authorId="0">
      <text>
        <r>
          <rPr>
            <sz val="8"/>
            <color indexed="81"/>
            <rFont val="Tahoma"/>
            <family val="2"/>
          </rPr>
          <t>Source: FY2026 Form 10-K (filed 2026-07-15) p. 32</t>
        </r>
      </text>
    </comment>
    <comment ref="C9" authorId="0">
      <text>
        <r>
          <rPr>
            <sz val="8"/>
            <color indexed="81"/>
            <rFont val="Tahoma"/>
            <family val="2"/>
          </rPr>
          <t>Source: FY2026 Form 10-K (filed 2026-07-15) p. 32</t>
        </r>
      </text>
    </comment>
    <comment ref="C11" authorId="0">
      <text>
        <r>
          <rPr>
            <sz val="8"/>
            <color indexed="81"/>
            <rFont val="Tahoma"/>
            <family val="2"/>
          </rPr>
          <t>Source: market data, data/valuation/peer_multiples.csv (Oct 13, 2026)</t>
        </r>
      </text>
    </comment>
    <comment ref="C12" authorId="0">
      <text>
        <r>
          <rPr>
            <sz val="8"/>
            <color indexed="81"/>
            <rFont val="Tahoma"/>
            <family val="2"/>
          </rPr>
          <t>Source: Convention shared with the reverse DCF (research_notes/thesis_tests/consensus_and_valuation.md Section C)</t>
        </r>
      </text>
    </comment>
    <comment ref="C14" authorId="0">
      <text>
        <r>
          <rPr>
            <sz val="8"/>
            <color indexed="81"/>
            <rFont val="Tahoma"/>
            <family val="2"/>
          </rPr>
          <t>Source: Convention shared with the reverse DCF (research_notes/thesis_tests/consensus_and_valuation.md Section C)</t>
        </r>
      </text>
    </comment>
    <comment ref="C15" authorId="0">
      <text>
        <r>
          <rPr>
            <sz val="8"/>
            <color indexed="81"/>
            <rFont val="Tahoma"/>
            <family val="2"/>
          </rPr>
          <t>Source: Convention shared with the reverse DCF (research_notes/thesis_tests/consensus_and_valuation.md Section C)</t>
        </r>
      </text>
    </comment>
    <comment ref="C16" authorId="0">
      <text>
        <r>
          <rPr>
            <sz val="8"/>
            <color indexed="81"/>
            <rFont val="Tahoma"/>
            <family val="2"/>
          </rPr>
          <t>Source: Convention shared with the reverse DCF (research_notes/thesis_tests/consensus_and_valuation.md Section C)</t>
        </r>
      </text>
    </comment>
    <comment ref="C17" authorId="0">
      <text>
        <r>
          <rPr>
            <sz val="8"/>
            <color indexed="81"/>
            <rFont val="Tahoma"/>
            <family val="2"/>
          </rPr>
          <t>Source: Convention shared with the reverse DCF (research_notes/thesis_tests/consensus_and_valuation.md Section C)</t>
        </r>
      </text>
    </comment>
    <comment ref="C18" authorId="0">
      <text>
        <r>
          <rPr>
            <sz val="8"/>
            <color indexed="81"/>
            <rFont val="Tahoma"/>
            <family val="2"/>
          </rPr>
          <t>Source: FY2027 consolidated margin implied by consensus EPS; Convention shared with the reverse DCF (research_notes/thesis_tests/consensus_and_valuation.md Section C)</t>
        </r>
      </text>
    </comment>
    <comment ref="C19" authorId="0">
      <text>
        <r>
          <rPr>
            <sz val="8"/>
            <color indexed="81"/>
            <rFont val="Tahoma"/>
            <family val="2"/>
          </rPr>
          <t>Source: Convention shared with the reverse DCF (research_notes/thesis_tests/consensus_and_valuation.md Section C)</t>
        </r>
      </text>
    </comment>
    <comment ref="D21" authorId="0">
      <text>
        <r>
          <rPr>
            <sz val="8"/>
            <color indexed="81"/>
            <rFont val="Tahoma"/>
            <family val="2"/>
          </rPr>
          <t>Source: ASSUMPTION; see research_notes/12_jordan_brand_thesis.md</t>
        </r>
      </text>
    </comment>
    <comment ref="D22" authorId="0">
      <text>
        <r>
          <rPr>
            <sz val="8"/>
            <color indexed="81"/>
            <rFont val="Tahoma"/>
            <family val="2"/>
          </rPr>
          <t>Source: ASSUMPTION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Source: ASSUMPTION; FY2027 -15% from Q1 FY27 'mid-teens' decline (Nike transcript, Oct 1, 2026)</t>
        </r>
      </text>
    </comment>
    <comment ref="C11" authorId="0">
      <text>
        <r>
          <rPr>
            <sz val="8"/>
            <color indexed="81"/>
            <rFont val="Tahoma"/>
            <family val="2"/>
          </rPr>
          <t>Source: ASSUMPTION; FY2027 -15% from Q1 FY27 'mid-teens' decline (Nike transcript, Oct 1, 2026)</t>
        </r>
      </text>
    </comment>
    <comment ref="C12" authorId="0">
      <text>
        <r>
          <rPr>
            <sz val="8"/>
            <color indexed="81"/>
            <rFont val="Tahoma"/>
            <family val="2"/>
          </rPr>
          <t>Source: ASSUMPTION; FY2027 -15% from Q1 FY27 'mid-teens' decline (Nike transcript, Oct 1, 2026)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42" authorId="0">
      <text>
        <r>
          <rPr>
            <sz val="8"/>
            <color indexed="81"/>
            <rFont val="Tahoma"/>
            <family val="2"/>
          </rPr>
          <t>Source: presentation convention (marker bar width as a share of the value)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2" authorId="0">
      <text>
        <r>
          <rPr>
            <sz val="8"/>
            <color indexed="81"/>
            <rFont val="Tahoma"/>
            <family val="2"/>
          </rPr>
          <t>Source: model convention (check tolerance; must exceed float and iteration noise)</t>
        </r>
      </text>
    </comment>
    <comment ref="C5" authorId="0">
      <text>
        <r>
          <rPr>
            <sz val="8"/>
            <color indexed="81"/>
            <rFont val="Tahoma"/>
            <family val="2"/>
          </rPr>
          <t>Source: model convention (check tolerance; must exceed float and iteration noise)</t>
        </r>
      </text>
    </comment>
    <comment ref="C6" authorId="0">
      <text>
        <r>
          <rPr>
            <sz val="8"/>
            <color indexed="81"/>
            <rFont val="Tahoma"/>
            <family val="2"/>
          </rPr>
          <t>Source: model convention (check tolerance; must exceed float and iteration noise)</t>
        </r>
      </text>
    </comment>
    <comment ref="C7" authorId="0">
      <text>
        <r>
          <rPr>
            <sz val="8"/>
            <color indexed="81"/>
            <rFont val="Tahoma"/>
            <family val="2"/>
          </rPr>
          <t>Source: model convention (check tolerance; must exceed float and iteration noise)</t>
        </r>
      </text>
    </comment>
  </commentList>
</comments>
</file>

<file path=xl/sharedStrings.xml><?xml version="1.0" encoding="utf-8"?>
<sst xmlns="http://schemas.openxmlformats.org/spreadsheetml/2006/main" count="199" uniqueCount="143">
  <si>
    <t>Inputs</t>
  </si>
  <si>
    <t>Item</t>
  </si>
  <si>
    <t>Unit</t>
  </si>
  <si>
    <t>Live</t>
  </si>
  <si>
    <t>Bear</t>
  </si>
  <si>
    <t>Base</t>
  </si>
  <si>
    <t>Bull</t>
  </si>
  <si>
    <t>Source / note</t>
  </si>
  <si>
    <t>Scenario</t>
  </si>
  <si>
    <t>Active scenario</t>
  </si>
  <si>
    <t>Pick a case; every scenario row follows it</t>
  </si>
  <si>
    <t>Active scenario (index)</t>
  </si>
  <si>
    <t>#</t>
  </si>
  <si>
    <t>derived from the switch above</t>
  </si>
  <si>
    <t>Filing facts ($m)</t>
  </si>
  <si>
    <t>Jordan revenue FY2026</t>
  </si>
  <si>
    <t>$m</t>
  </si>
  <si>
    <t>FY2026 Form 10-K (filed 2026-07-15) p. 32</t>
  </si>
  <si>
    <t>Jordan revenue FY2024 (peak)</t>
  </si>
  <si>
    <t>Market data</t>
  </si>
  <si>
    <t>NKE share price</t>
  </si>
  <si>
    <t>$</t>
  </si>
  <si>
    <t>market data, data/valuation/peer_multiples.csv (Oct 13, 2026)</t>
  </si>
  <si>
    <t>NKE diluted shares (m)</t>
  </si>
  <si>
    <t>Convention shared with the reverse DCF (research_notes/thesis_tests/consensus_and_valuation.md Section C)</t>
  </si>
  <si>
    <t>DCF conventions</t>
  </si>
  <si>
    <t>Tax rate</t>
  </si>
  <si>
    <t>%</t>
  </si>
  <si>
    <t>Sales to capital</t>
  </si>
  <si>
    <t>x</t>
  </si>
  <si>
    <t>Terminal ROIC</t>
  </si>
  <si>
    <t>WACC</t>
  </si>
  <si>
    <t>FY2027 starting EBIT margin</t>
  </si>
  <si>
    <t>FY2027 consolidated margin implied by consensus EPS; Convention shared with the reverse DCF (research_notes/thesis_tests/consensus_and_valuation.md Section C)</t>
  </si>
  <si>
    <t>FY2027 weight (valuation date 2026-10-12)</t>
  </si>
  <si>
    <t>yrs</t>
  </si>
  <si>
    <t>Scenario assumptions (ASSUMPTIONS)</t>
  </si>
  <si>
    <t>Steady-state EBIT margin, reached FY2031</t>
  </si>
  <si>
    <t>ASSUMPTION; see research_notes/12_jordan_brand_thesis.md</t>
  </si>
  <si>
    <t>Terminal growth</t>
  </si>
  <si>
    <t>ASSUMPTION</t>
  </si>
  <si>
    <t>Model</t>
  </si>
  <si>
    <t>Fiscal year</t>
  </si>
  <si>
    <t>FY2027E</t>
  </si>
  <si>
    <t>FY2028E</t>
  </si>
  <si>
    <t>FY2029E</t>
  </si>
  <si>
    <t>FY2030E</t>
  </si>
  <si>
    <t>FY2031E</t>
  </si>
  <si>
    <t>Timing</t>
  </si>
  <si>
    <t>Period number</t>
  </si>
  <si>
    <t>Year weight (FY2027 pro-rated)</t>
  </si>
  <si>
    <t>Years from valuation date, period end</t>
  </si>
  <si>
    <t>Discount timing, mid-period</t>
  </si>
  <si>
    <t>Revenue</t>
  </si>
  <si>
    <t>Revenue growth: Bear</t>
  </si>
  <si>
    <t>ASSUMPTION; FY2027 -15% from Q1 FY27 'mid-teens' decline (Nike transcript, Oct 1, 2026)</t>
  </si>
  <si>
    <t>Revenue growth: Base</t>
  </si>
  <si>
    <t>Revenue growth: Bull</t>
  </si>
  <si>
    <t>Revenue growth (live)</t>
  </si>
  <si>
    <t>Jordan revenue</t>
  </si>
  <si>
    <t>Profit and cash flow</t>
  </si>
  <si>
    <t>EBIT margin (linear ramp to target)</t>
  </si>
  <si>
    <t>EBIT</t>
  </si>
  <si>
    <t>NOPAT</t>
  </si>
  <si>
    <t>Reinvestment (revenue growth / sales to capital, floored at 0)</t>
  </si>
  <si>
    <t>Free cash flow, period-weighted</t>
  </si>
  <si>
    <t>Discount factor</t>
  </si>
  <si>
    <t>factor</t>
  </si>
  <si>
    <t>PV of free cash flow</t>
  </si>
  <si>
    <t>Valuation</t>
  </si>
  <si>
    <t>Terminal value</t>
  </si>
  <si>
    <t>NOPAT FY2032 (FY2031 x (1+g))</t>
  </si>
  <si>
    <t>Terminal value at FY2031 (value driver formula)</t>
  </si>
  <si>
    <t>PV of terminal value</t>
  </si>
  <si>
    <t>Value</t>
  </si>
  <si>
    <t>PV of FY2027-FY2031 free cash flow</t>
  </si>
  <si>
    <t>DCF value of Jordan</t>
  </si>
  <si>
    <t>Value per NKE share</t>
  </si>
  <si>
    <t>Share of NKE price</t>
  </si>
  <si>
    <t>Terminal value share of DCF value</t>
  </si>
  <si>
    <t>FY2031 snapshot</t>
  </si>
  <si>
    <t>EBIT FY2031</t>
  </si>
  <si>
    <t>EPS contribution FY2031</t>
  </si>
  <si>
    <t>FY2031 revenue vs FY2024 peak</t>
  </si>
  <si>
    <t>Charts</t>
  </si>
  <si>
    <t>Jordan DCF value, active scenario ($m)</t>
  </si>
  <si>
    <t>Step</t>
  </si>
  <si>
    <t>Running total</t>
  </si>
  <si>
    <t>Increase</t>
  </si>
  <si>
    <t>Decrease</t>
  </si>
  <si>
    <t>Total</t>
  </si>
  <si>
    <t>PV FY2027 FCF</t>
  </si>
  <si>
    <t>PV FY2028 FCF</t>
  </si>
  <si>
    <t>PV FY2029 FCF</t>
  </si>
  <si>
    <t>PV FY2030 FCF</t>
  </si>
  <si>
    <t>PV FY2031 FCF</t>
  </si>
  <si>
    <t>PV terminal value</t>
  </si>
  <si>
    <t>End</t>
  </si>
  <si>
    <t>Live: follows the scenario switch on Inputs. End bar equals Valuation 'DCF value of Jordan'.</t>
  </si>
  <si>
    <t>Jordan value per NKE share ($)</t>
  </si>
  <si>
    <t>Method</t>
  </si>
  <si>
    <t>Low</t>
  </si>
  <si>
    <t>High</t>
  </si>
  <si>
    <t>Range</t>
  </si>
  <si>
    <t>Source</t>
  </si>
  <si>
    <t>DCF, Bear to Bull scenarios</t>
  </si>
  <si>
    <t>data/valuation/jordan_scenarios.csv (scripts/jordan_valuation.py)</t>
  </si>
  <si>
    <t>DCF, Base path, margin 6% to 17%</t>
  </si>
  <si>
    <t>data/valuation/jordan_sensitivity.csv</t>
  </si>
  <si>
    <t>DCF, Bear path, margin 6% to 17%</t>
  </si>
  <si>
    <t>Jordan FY2026 revenue x NKE EV/Sales</t>
  </si>
  <si>
    <t>jordan_scenarios.csv reference row (point estimate)</t>
  </si>
  <si>
    <t>Live scenario value per share</t>
  </si>
  <si>
    <t>live marker (column F), drawn as a sliver of width set in column G</t>
  </si>
  <si>
    <t>Static ranges are outputs of scripts/jordan_valuation.py; the marker is live.</t>
  </si>
  <si>
    <t>Check</t>
  </si>
  <si>
    <t>Tolerance</t>
  </si>
  <si>
    <t>Pass (1/0)</t>
  </si>
  <si>
    <t>Margin reaches target in FY2031</t>
  </si>
  <si>
    <t>Terminal growth below WACC</t>
  </si>
  <si>
    <t>must be 1</t>
  </si>
  <si>
    <t>Revenue never negative</t>
  </si>
  <si>
    <t>Value = PV(FCF) + PV(TV)</t>
  </si>
  <si>
    <t>Discount timing: final period ends at stub + (periods - 1) years</t>
  </si>
  <si>
    <t>Jordan DCF value, active scenario ($m): bars reconcile</t>
  </si>
  <si>
    <t>Master check (1 = all pass)</t>
  </si>
  <si>
    <t>Jordan Brand scenario valuation (illustrative)</t>
  </si>
  <si>
    <t>Assumption-driven DCF of Jordan Brand; growth, margin and terminal growth are labelled ASSUMPTIONS, not forecasts. Mirror of scripts/jordan_valuation.py.</t>
  </si>
  <si>
    <t>Master check</t>
  </si>
  <si>
    <t>Colour key</t>
  </si>
  <si>
    <t>Blue text</t>
  </si>
  <si>
    <t>hard-coded input (change these)</t>
  </si>
  <si>
    <t>Black text</t>
  </si>
  <si>
    <t>formula</t>
  </si>
  <si>
    <t>Green text</t>
  </si>
  <si>
    <t>link from another sheet</t>
  </si>
  <si>
    <t>Yellow fill</t>
  </si>
  <si>
    <t>scenario switch</t>
  </si>
  <si>
    <t>Sheets</t>
  </si>
  <si>
    <t>Scenario switch, filing facts, market data and DCF conventions</t>
  </si>
  <si>
    <t>Revenue path, margin ramp, free cash flow and discounting by fiscal year</t>
  </si>
  <si>
    <t>DCF value, per-share value and terminal share for the active scenario</t>
  </si>
  <si>
    <t>Value bridge for the active scenario and the per-share football field</t>
  </si>
</sst>
</file>

<file path=xl/styles.xml><?xml version="1.0" encoding="utf-8"?>
<styleSheet xmlns="http://schemas.openxmlformats.org/spreadsheetml/2006/main">
  <numFmts count="10">
    <numFmt numFmtId="164" formatCode="@"/>
    <numFmt numFmtId="165" formatCode="#,##0_);(#,##0);&quot;-&quot;_)"/>
    <numFmt numFmtId="166" formatCode="$#,##0.00_);($#,##0.00);&quot;-&quot;_)"/>
    <numFmt numFmtId="167" formatCode="0.0%_);(0.0%);&quot;-&quot;_)"/>
    <numFmt numFmtId="168" formatCode="0.0&quot;x&quot;"/>
    <numFmt numFmtId="169" formatCode="0.00"/>
    <numFmt numFmtId="170" formatCode="0.000"/>
    <numFmt numFmtId="171" formatCode="0.0%"/>
    <numFmt numFmtId="172" formatCode="#,##0.000000"/>
    <numFmt numFmtId="173" formatCode="0.000000"/>
  </numFmts>
  <fonts count="8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1" fillId="0" borderId="1" xfId="0" applyFont="1" applyBorder="1"/>
    <xf numFmtId="0" fontId="1" fillId="3" borderId="0" xfId="0" applyFont="1" applyFill="1"/>
    <xf numFmtId="164" fontId="6" fillId="2" borderId="0" xfId="0" applyNumberFormat="1" applyFont="1" applyFill="1"/>
    <xf numFmtId="165" fontId="4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167" fontId="4" fillId="0" borderId="0" xfId="0" applyNumberFormat="1" applyFont="1"/>
    <xf numFmtId="164" fontId="1" fillId="0" borderId="1" xfId="0" applyNumberFormat="1" applyFont="1" applyBorder="1"/>
    <xf numFmtId="169" fontId="5" fillId="0" borderId="0" xfId="0" applyNumberFormat="1" applyFont="1"/>
    <xf numFmtId="169" fontId="4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/>
    <xf numFmtId="170" fontId="4" fillId="0" borderId="0" xfId="0" applyNumberFormat="1" applyFont="1"/>
    <xf numFmtId="166" fontId="4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71" fontId="3" fillId="0" borderId="0" xfId="0" applyNumberFormat="1" applyFont="1"/>
    <xf numFmtId="172" fontId="4" fillId="0" borderId="0" xfId="0" applyNumberFormat="1" applyFont="1"/>
    <xf numFmtId="173" fontId="3" fillId="0" borderId="0" xfId="0" applyNumberFormat="1" applyFont="1"/>
    <xf numFmtId="1" fontId="4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Arial"/>
              </a:defRPr>
            </a:pPr>
            <a:r>
              <a:rPr lang="en-US" sz="1100" baseline="0">
                <a:latin typeface="Arial"/>
              </a:rPr>
              <a:t>Jordan DCF value, active scenario ($m)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Base</c:v>
          </c:tx>
          <c:spPr>
            <a:noFill/>
            <a:ln>
              <a:noFill/>
            </a:ln>
          </c:spPr>
          <c:cat>
            <c:strRef>
              <c:f>Charts!$A$5:$A$11</c:f>
              <c:strCache>
                <c:ptCount val="7"/>
                <c:pt idx="0">
                  <c:v>PV FY2027 FCF</c:v>
                </c:pt>
                <c:pt idx="1">
                  <c:v>PV FY2028 FCF</c:v>
                </c:pt>
                <c:pt idx="2">
                  <c:v>PV FY2029 FCF</c:v>
                </c:pt>
                <c:pt idx="3">
                  <c:v>PV FY2030 FCF</c:v>
                </c:pt>
                <c:pt idx="4">
                  <c:v>PV FY2031 FCF</c:v>
                </c:pt>
                <c:pt idx="5">
                  <c:v>PV terminal value</c:v>
                </c:pt>
                <c:pt idx="6">
                  <c:v>End</c:v>
                </c:pt>
              </c:strCache>
            </c:strRef>
          </c:cat>
          <c:val>
            <c:numRef>
              <c:f>Charts!$D$5:$D$11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Total</c:v>
          </c:tx>
          <c:spPr>
            <a:solidFill>
              <a:srgbClr val="1F4E79"/>
            </a:solidFill>
          </c:spPr>
          <c:cat>
            <c:strRef>
              <c:f>Charts!$A$5:$A$11</c:f>
              <c:strCache>
                <c:ptCount val="7"/>
                <c:pt idx="0">
                  <c:v>PV FY2027 FCF</c:v>
                </c:pt>
                <c:pt idx="1">
                  <c:v>PV FY2028 FCF</c:v>
                </c:pt>
                <c:pt idx="2">
                  <c:v>PV FY2029 FCF</c:v>
                </c:pt>
                <c:pt idx="3">
                  <c:v>PV FY2030 FCF</c:v>
                </c:pt>
                <c:pt idx="4">
                  <c:v>PV FY2031 FCF</c:v>
                </c:pt>
                <c:pt idx="5">
                  <c:v>PV terminal value</c:v>
                </c:pt>
                <c:pt idx="6">
                  <c:v>End</c:v>
                </c:pt>
              </c:strCache>
            </c:strRef>
          </c:cat>
          <c:val>
            <c:numRef>
              <c:f>Charts!$G$5:$G$11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Increase</c:v>
          </c:tx>
          <c:spPr>
            <a:solidFill>
              <a:srgbClr val="548235"/>
            </a:solidFill>
          </c:spPr>
          <c:cat>
            <c:strRef>
              <c:f>Charts!$A$5:$A$11</c:f>
              <c:strCache>
                <c:ptCount val="7"/>
                <c:pt idx="0">
                  <c:v>PV FY2027 FCF</c:v>
                </c:pt>
                <c:pt idx="1">
                  <c:v>PV FY2028 FCF</c:v>
                </c:pt>
                <c:pt idx="2">
                  <c:v>PV FY2029 FCF</c:v>
                </c:pt>
                <c:pt idx="3">
                  <c:v>PV FY2030 FCF</c:v>
                </c:pt>
                <c:pt idx="4">
                  <c:v>PV FY2031 FCF</c:v>
                </c:pt>
                <c:pt idx="5">
                  <c:v>PV terminal value</c:v>
                </c:pt>
                <c:pt idx="6">
                  <c:v>End</c:v>
                </c:pt>
              </c:strCache>
            </c:strRef>
          </c:cat>
          <c:val>
            <c:numRef>
              <c:f>Charts!$E$5:$E$11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v>Decrease</c:v>
          </c:tx>
          <c:spPr>
            <a:solidFill>
              <a:srgbClr val="C00000"/>
            </a:solidFill>
          </c:spPr>
          <c:cat>
            <c:strRef>
              <c:f>Charts!$A$5:$A$11</c:f>
              <c:strCache>
                <c:ptCount val="7"/>
                <c:pt idx="0">
                  <c:v>PV FY2027 FCF</c:v>
                </c:pt>
                <c:pt idx="1">
                  <c:v>PV FY2028 FCF</c:v>
                </c:pt>
                <c:pt idx="2">
                  <c:v>PV FY2029 FCF</c:v>
                </c:pt>
                <c:pt idx="3">
                  <c:v>PV FY2030 FCF</c:v>
                </c:pt>
                <c:pt idx="4">
                  <c:v>PV FY2031 FCF</c:v>
                </c:pt>
                <c:pt idx="5">
                  <c:v>PV terminal value</c:v>
                </c:pt>
                <c:pt idx="6">
                  <c:v>End</c:v>
                </c:pt>
              </c:strCache>
            </c:strRef>
          </c:cat>
          <c:val>
            <c:numRef>
              <c:f>Charts!$F$5:$F$11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5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#,##0_);(#,##0);&quot;-&quot;_)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Arial"/>
              </a:defRPr>
            </a:pPr>
            <a:r>
              <a:rPr lang="en-US" sz="1100" baseline="0">
                <a:latin typeface="Arial"/>
              </a:rPr>
              <a:t>Jordan value per NKE share ($)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Low</c:v>
          </c:tx>
          <c:spPr>
            <a:noFill/>
            <a:ln>
              <a:noFill/>
            </a:ln>
          </c:spPr>
          <c:cat>
            <c:strRef>
              <c:f>Charts!$A$38:$A$42</c:f>
              <c:strCache>
                <c:ptCount val="5"/>
                <c:pt idx="0">
                  <c:v>DCF, Bear to Bull scenarios</c:v>
                </c:pt>
                <c:pt idx="1">
                  <c:v>DCF, Base path, margin 6% to 17%</c:v>
                </c:pt>
                <c:pt idx="2">
                  <c:v>DCF, Bear path, margin 6% to 17%</c:v>
                </c:pt>
                <c:pt idx="3">
                  <c:v>Jordan FY2026 revenue x NKE EV/Sales</c:v>
                </c:pt>
                <c:pt idx="4">
                  <c:v>Live scenario value per share</c:v>
                </c:pt>
              </c:strCache>
            </c:strRef>
          </c:cat>
          <c:val>
            <c:numRef>
              <c:f>Charts!$B$38:$B$42</c:f>
              <c:numCache>
                <c:formatCode>General</c:formatCode>
                <c:ptCount val="5"/>
                <c:pt idx="0">
                  <c:v>2.32</c:v>
                </c:pt>
                <c:pt idx="1">
                  <c:v>2.14</c:v>
                </c:pt>
                <c:pt idx="2">
                  <c:v>1.82</c:v>
                </c:pt>
                <c:pt idx="3">
                  <c:v>5.68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Range</c:v>
          </c:tx>
          <c:spPr>
            <a:solidFill>
              <a:srgbClr val="1F4E79"/>
            </a:solidFill>
          </c:spPr>
          <c:dPt>
            <c:idx val="4"/>
            <c:spPr>
              <a:solidFill>
                <a:srgbClr val="C00000"/>
              </a:solidFill>
            </c:spPr>
          </c:dPt>
          <c:cat>
            <c:strRef>
              <c:f>Charts!$A$38:$A$42</c:f>
              <c:strCache>
                <c:ptCount val="5"/>
                <c:pt idx="0">
                  <c:v>DCF, Bear to Bull scenarios</c:v>
                </c:pt>
                <c:pt idx="1">
                  <c:v>DCF, Base path, margin 6% to 17%</c:v>
                </c:pt>
                <c:pt idx="2">
                  <c:v>DCF, Bear path, margin 6% to 17%</c:v>
                </c:pt>
                <c:pt idx="3">
                  <c:v>Jordan FY2026 revenue x NKE EV/Sales</c:v>
                </c:pt>
                <c:pt idx="4">
                  <c:v>Live scenario value per share</c:v>
                </c:pt>
              </c:strCache>
            </c:strRef>
          </c:cat>
          <c:val>
            <c:numRef>
              <c:f>Charts!$D$38:$D$42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60"/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</a:ln>
          </c:spPr>
        </c:majorGridlines>
        <c:numFmt formatCode="$#,##0.00_);($#,##0.00);&quot;-&quot;_)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38100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6</xdr:col>
      <xdr:colOff>38100</xdr:colOff>
      <xdr:row>60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6"/>
  <sheetViews>
    <sheetView showGridLines="0" tabSelected="1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126</v>
      </c>
    </row>
    <row r="2" spans="1:2">
      <c r="A2" s="2" t="s">
        <v>127</v>
      </c>
    </row>
    <row r="4" spans="1:2">
      <c r="A4" s="1" t="s">
        <v>128</v>
      </c>
      <c r="B4" s="1" t="str">
        <f>IF(MasterCheck=1,"OK: all checks pass","ERROR: see Checks sheet")</f>
        <v>OK: all checks pass</v>
      </c>
    </row>
    <row r="6" spans="1:2">
      <c r="A6" s="1" t="s">
        <v>129</v>
      </c>
    </row>
    <row r="7" spans="1:2">
      <c r="A7" s="3" t="s">
        <v>130</v>
      </c>
      <c r="B7" s="4" t="s">
        <v>131</v>
      </c>
    </row>
    <row r="8" spans="1:2">
      <c r="A8" s="4" t="s">
        <v>132</v>
      </c>
      <c r="B8" s="4" t="s">
        <v>133</v>
      </c>
    </row>
    <row r="9" spans="1:2">
      <c r="A9" s="5" t="s">
        <v>134</v>
      </c>
      <c r="B9" s="4" t="s">
        <v>135</v>
      </c>
    </row>
    <row r="10" spans="1:2">
      <c r="A10" s="6" t="s">
        <v>136</v>
      </c>
      <c r="B10" s="4" t="s">
        <v>137</v>
      </c>
    </row>
    <row r="12" spans="1:2">
      <c r="A12" s="1" t="s">
        <v>138</v>
      </c>
    </row>
    <row r="13" spans="1:2">
      <c r="A13" s="4" t="s">
        <v>0</v>
      </c>
      <c r="B13" s="4" t="s">
        <v>139</v>
      </c>
    </row>
    <row r="14" spans="1:2">
      <c r="A14" s="4" t="s">
        <v>41</v>
      </c>
      <c r="B14" s="4" t="s">
        <v>140</v>
      </c>
    </row>
    <row r="15" spans="1:2">
      <c r="A15" s="4" t="s">
        <v>69</v>
      </c>
      <c r="B15" s="4" t="s">
        <v>141</v>
      </c>
    </row>
    <row r="16" spans="1:2">
      <c r="A16" s="4" t="s">
        <v>84</v>
      </c>
      <c r="B16" s="4" t="s">
        <v>142</v>
      </c>
    </row>
  </sheetData>
  <pageMargins left="0.7" right="0.7" top="0.75" bottom="0.75" header="0.3" footer="0.3"/>
  <pageSetup paperSize="1" fitToHeight="0" orientation="landscape"/>
  <headerFooter>
    <oddFooter>&amp;L&amp;A&amp;R&amp;P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4.7109375" customWidth="1"/>
    <col min="2" max="2" width="8.7109375" customWidth="1"/>
    <col min="3" max="6" width="12.7109375" customWidth="1"/>
    <col min="7" max="7" width="70.7109375" customWidth="1"/>
  </cols>
  <sheetData>
    <row r="1" spans="1:7">
      <c r="A1" s="1" t="s">
        <v>0</v>
      </c>
    </row>
    <row r="3" spans="1:7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>
      <c r="A4" s="8" t="s">
        <v>8</v>
      </c>
    </row>
    <row r="5" spans="1:7">
      <c r="A5" s="1" t="s">
        <v>9</v>
      </c>
      <c r="C5" s="9" t="s">
        <v>5</v>
      </c>
      <c r="G5" s="2" t="s">
        <v>10</v>
      </c>
    </row>
    <row r="6" spans="1:7">
      <c r="A6" s="4" t="s">
        <v>11</v>
      </c>
      <c r="B6" s="4" t="s">
        <v>12</v>
      </c>
      <c r="C6" s="10">
        <f>MATCH($C$5,{"Bear","Base","Bull"},0)</f>
        <v>2</v>
      </c>
      <c r="G6" s="2" t="s">
        <v>13</v>
      </c>
    </row>
    <row r="7" spans="1:7">
      <c r="A7" s="8" t="s">
        <v>14</v>
      </c>
    </row>
    <row r="8" spans="1:7">
      <c r="A8" s="4" t="s">
        <v>15</v>
      </c>
      <c r="B8" s="4" t="s">
        <v>16</v>
      </c>
      <c r="C8" s="11">
        <v>7034</v>
      </c>
      <c r="G8" s="2" t="s">
        <v>17</v>
      </c>
    </row>
    <row r="9" spans="1:7">
      <c r="A9" s="4" t="s">
        <v>18</v>
      </c>
      <c r="B9" s="4" t="s">
        <v>16</v>
      </c>
      <c r="C9" s="11">
        <v>8701</v>
      </c>
      <c r="G9" s="2" t="s">
        <v>17</v>
      </c>
    </row>
    <row r="10" spans="1:7">
      <c r="A10" s="8" t="s">
        <v>19</v>
      </c>
    </row>
    <row r="11" spans="1:7">
      <c r="A11" s="4" t="s">
        <v>20</v>
      </c>
      <c r="B11" s="4" t="s">
        <v>21</v>
      </c>
      <c r="C11" s="12">
        <v>35.35</v>
      </c>
      <c r="G11" s="2" t="s">
        <v>22</v>
      </c>
    </row>
    <row r="12" spans="1:7">
      <c r="A12" s="4" t="s">
        <v>23</v>
      </c>
      <c r="B12" s="4" t="s">
        <v>12</v>
      </c>
      <c r="C12" s="11">
        <v>1487</v>
      </c>
      <c r="G12" s="2" t="s">
        <v>24</v>
      </c>
    </row>
    <row r="13" spans="1:7">
      <c r="A13" s="8" t="s">
        <v>25</v>
      </c>
    </row>
    <row r="14" spans="1:7">
      <c r="A14" s="4" t="s">
        <v>26</v>
      </c>
      <c r="B14" s="4" t="s">
        <v>27</v>
      </c>
      <c r="C14" s="13">
        <v>0.225</v>
      </c>
      <c r="G14" s="2" t="s">
        <v>24</v>
      </c>
    </row>
    <row r="15" spans="1:7">
      <c r="A15" s="4" t="s">
        <v>28</v>
      </c>
      <c r="B15" s="4" t="s">
        <v>29</v>
      </c>
      <c r="C15" s="14">
        <v>2.5</v>
      </c>
      <c r="G15" s="2" t="s">
        <v>24</v>
      </c>
    </row>
    <row r="16" spans="1:7">
      <c r="A16" s="4" t="s">
        <v>30</v>
      </c>
      <c r="B16" s="4" t="s">
        <v>27</v>
      </c>
      <c r="C16" s="13">
        <v>0.2</v>
      </c>
      <c r="G16" s="2" t="s">
        <v>24</v>
      </c>
    </row>
    <row r="17" spans="1:7">
      <c r="A17" s="4" t="s">
        <v>31</v>
      </c>
      <c r="B17" s="4" t="s">
        <v>27</v>
      </c>
      <c r="C17" s="13">
        <v>0.1</v>
      </c>
      <c r="G17" s="2" t="s">
        <v>24</v>
      </c>
    </row>
    <row r="18" spans="1:7">
      <c r="A18" s="4" t="s">
        <v>32</v>
      </c>
      <c r="B18" s="4" t="s">
        <v>27</v>
      </c>
      <c r="C18" s="13">
        <v>0.057</v>
      </c>
      <c r="G18" s="2" t="s">
        <v>33</v>
      </c>
    </row>
    <row r="19" spans="1:7">
      <c r="A19" s="4" t="s">
        <v>34</v>
      </c>
      <c r="B19" s="4" t="s">
        <v>35</v>
      </c>
      <c r="C19" s="15">
        <v>0.63</v>
      </c>
      <c r="G19" s="2" t="s">
        <v>24</v>
      </c>
    </row>
    <row r="20" spans="1:7">
      <c r="A20" s="8" t="s">
        <v>36</v>
      </c>
    </row>
    <row r="21" spans="1:7">
      <c r="A21" s="4" t="s">
        <v>37</v>
      </c>
      <c r="B21" s="4" t="s">
        <v>27</v>
      </c>
      <c r="C21" s="16">
        <f>CHOOSE($C$6,D21,E21,F21)</f>
        <v>0.11</v>
      </c>
      <c r="D21" s="13">
        <v>0.08</v>
      </c>
      <c r="E21" s="13">
        <v>0.11</v>
      </c>
      <c r="F21" s="13">
        <v>0.14</v>
      </c>
      <c r="G21" s="2" t="s">
        <v>38</v>
      </c>
    </row>
    <row r="22" spans="1:7">
      <c r="A22" s="4" t="s">
        <v>39</v>
      </c>
      <c r="B22" s="4" t="s">
        <v>27</v>
      </c>
      <c r="C22" s="16">
        <f>CHOOSE($C$6,D22,E22,F22)</f>
        <v>0.025</v>
      </c>
      <c r="D22" s="13">
        <v>0.01</v>
      </c>
      <c r="E22" s="13">
        <v>0.025</v>
      </c>
      <c r="F22" s="13">
        <v>0.03</v>
      </c>
      <c r="G22" s="2" t="s">
        <v>40</v>
      </c>
    </row>
  </sheetData>
  <dataValidations count="1">
    <dataValidation type="list" allowBlank="1" showInputMessage="1" showErrorMessage="1" sqref="C5">
      <formula1>"Bear,Base,Bull"</formula1>
    </dataValidation>
  </dataValidations>
  <pageMargins left="0.7" right="0.7" top="0.75" bottom="0.75" header="0.3" footer="0.3"/>
  <pageSetup paperSize="1" fitToHeight="0" orientation="landscape"/>
  <headerFooter>
    <oddFooter>&amp;L&amp;A&amp;R&amp;P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2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40.7109375" customWidth="1"/>
    <col min="2" max="2" width="7.7109375" customWidth="1"/>
    <col min="3" max="7" width="11.7109375" customWidth="1"/>
    <col min="8" max="8" width="50.7109375" customWidth="1"/>
  </cols>
  <sheetData>
    <row r="1" spans="1:8">
      <c r="A1" s="1" t="s">
        <v>41</v>
      </c>
    </row>
    <row r="3" spans="1:8">
      <c r="A3" s="7" t="s">
        <v>42</v>
      </c>
      <c r="B3" s="7" t="s">
        <v>2</v>
      </c>
      <c r="C3" s="17" t="s">
        <v>43</v>
      </c>
      <c r="D3" s="17" t="s">
        <v>44</v>
      </c>
      <c r="E3" s="17" t="s">
        <v>45</v>
      </c>
      <c r="F3" s="17" t="s">
        <v>46</v>
      </c>
      <c r="G3" s="17" t="s">
        <v>47</v>
      </c>
    </row>
    <row r="4" spans="1:8">
      <c r="A4" s="8" t="s">
        <v>48</v>
      </c>
    </row>
    <row r="5" spans="1:8">
      <c r="A5" s="4" t="s">
        <v>49</v>
      </c>
      <c r="B5" s="4" t="s">
        <v>12</v>
      </c>
      <c r="C5" s="10">
        <f>1</f>
        <v>1</v>
      </c>
      <c r="D5" s="10">
        <f>C5+1</f>
        <v>2</v>
      </c>
      <c r="E5" s="10">
        <f>D5+1</f>
        <v>3</v>
      </c>
      <c r="F5" s="10">
        <f>E5+1</f>
        <v>4</v>
      </c>
      <c r="G5" s="10">
        <f>F5+1</f>
        <v>5</v>
      </c>
    </row>
    <row r="6" spans="1:8">
      <c r="A6" s="4" t="s">
        <v>50</v>
      </c>
      <c r="B6" s="4" t="s">
        <v>35</v>
      </c>
      <c r="C6" s="18">
        <f>Inputs!$C$19</f>
        <v>0.63</v>
      </c>
      <c r="D6" s="19">
        <f>1</f>
        <v>1</v>
      </c>
      <c r="E6" s="19">
        <f>1</f>
        <v>1</v>
      </c>
      <c r="F6" s="19">
        <f>1</f>
        <v>1</v>
      </c>
      <c r="G6" s="19">
        <f>1</f>
        <v>1</v>
      </c>
    </row>
    <row r="7" spans="1:8">
      <c r="A7" s="4" t="s">
        <v>51</v>
      </c>
      <c r="B7" s="4" t="s">
        <v>35</v>
      </c>
      <c r="C7" s="19">
        <f>C6</f>
        <v>0.63</v>
      </c>
      <c r="D7" s="19">
        <f>C7+D6</f>
        <v>1.63</v>
      </c>
      <c r="E7" s="19">
        <f>D7+E6</f>
        <v>2.63</v>
      </c>
      <c r="F7" s="19">
        <f>E7+F6</f>
        <v>3.63</v>
      </c>
      <c r="G7" s="19">
        <f>F7+G6</f>
        <v>4.63</v>
      </c>
    </row>
    <row r="8" spans="1:8">
      <c r="A8" s="4" t="s">
        <v>52</v>
      </c>
      <c r="B8" s="4" t="s">
        <v>35</v>
      </c>
      <c r="C8" s="19">
        <f>C7-C6/2</f>
        <v>0.315</v>
      </c>
      <c r="D8" s="19">
        <f>D7-D6/2</f>
        <v>1.13</v>
      </c>
      <c r="E8" s="19">
        <f>E7-E6/2</f>
        <v>2.13</v>
      </c>
      <c r="F8" s="19">
        <f>F7-F6/2</f>
        <v>3.13</v>
      </c>
      <c r="G8" s="19">
        <f>G7-G6/2</f>
        <v>4.13</v>
      </c>
    </row>
    <row r="9" spans="1:8">
      <c r="A9" s="8" t="s">
        <v>53</v>
      </c>
    </row>
    <row r="10" spans="1:8">
      <c r="A10" s="4" t="s">
        <v>54</v>
      </c>
      <c r="B10" s="4" t="s">
        <v>27</v>
      </c>
      <c r="C10" s="13">
        <v>-0.15</v>
      </c>
      <c r="D10" s="13">
        <v>-0.08</v>
      </c>
      <c r="E10" s="13">
        <v>0</v>
      </c>
      <c r="F10" s="13">
        <v>0</v>
      </c>
      <c r="G10" s="13">
        <v>0</v>
      </c>
      <c r="H10" s="2" t="s">
        <v>55</v>
      </c>
    </row>
    <row r="11" spans="1:8">
      <c r="A11" s="4" t="s">
        <v>56</v>
      </c>
      <c r="B11" s="4" t="s">
        <v>27</v>
      </c>
      <c r="C11" s="13">
        <v>-0.15</v>
      </c>
      <c r="D11" s="13">
        <v>-0.03</v>
      </c>
      <c r="E11" s="13">
        <v>0.05</v>
      </c>
      <c r="F11" s="13">
        <v>0.05</v>
      </c>
      <c r="G11" s="13">
        <v>0.05</v>
      </c>
      <c r="H11" s="2" t="s">
        <v>55</v>
      </c>
    </row>
    <row r="12" spans="1:8">
      <c r="A12" s="4" t="s">
        <v>57</v>
      </c>
      <c r="B12" s="4" t="s">
        <v>27</v>
      </c>
      <c r="C12" s="13">
        <v>-0.15</v>
      </c>
      <c r="D12" s="13">
        <v>0.05</v>
      </c>
      <c r="E12" s="13">
        <v>0.12</v>
      </c>
      <c r="F12" s="13">
        <v>0.12</v>
      </c>
      <c r="G12" s="13">
        <v>0.1</v>
      </c>
      <c r="H12" s="2" t="s">
        <v>55</v>
      </c>
    </row>
    <row r="13" spans="1:8">
      <c r="A13" s="1" t="s">
        <v>58</v>
      </c>
      <c r="B13" s="4" t="s">
        <v>27</v>
      </c>
      <c r="C13" s="20">
        <f>CHOOSE(Inputs!$C$6,C10,C11,C12)</f>
        <v>-0.15</v>
      </c>
      <c r="D13" s="20">
        <f>CHOOSE(Inputs!$C$6,D10,D11,D12)</f>
        <v>-0.03</v>
      </c>
      <c r="E13" s="20">
        <f>CHOOSE(Inputs!$C$6,E10,E11,E12)</f>
        <v>0.05</v>
      </c>
      <c r="F13" s="20">
        <f>CHOOSE(Inputs!$C$6,F10,F11,F12)</f>
        <v>0.05</v>
      </c>
      <c r="G13" s="20">
        <f>CHOOSE(Inputs!$C$6,G10,G11,G12)</f>
        <v>0.05</v>
      </c>
    </row>
    <row r="14" spans="1:8">
      <c r="A14" s="1" t="s">
        <v>59</v>
      </c>
      <c r="B14" s="4" t="s">
        <v>16</v>
      </c>
      <c r="C14" s="21">
        <f>Inputs!$C$8*(1+C13)</f>
        <v>5978.9</v>
      </c>
      <c r="D14" s="21">
        <f>C14*(1+D13)</f>
        <v>5799.533</v>
      </c>
      <c r="E14" s="21">
        <f>D14*(1+E13)</f>
        <v>6089.50965</v>
      </c>
      <c r="F14" s="21">
        <f>E14*(1+F13)</f>
        <v>6393.9851325</v>
      </c>
      <c r="G14" s="21">
        <f>F14*(1+G13)</f>
        <v>6713.684389125</v>
      </c>
    </row>
    <row r="15" spans="1:8">
      <c r="A15" s="8" t="s">
        <v>60</v>
      </c>
    </row>
    <row r="16" spans="1:8">
      <c r="A16" s="4" t="s">
        <v>61</v>
      </c>
      <c r="B16" s="4" t="s">
        <v>27</v>
      </c>
      <c r="C16" s="16">
        <f>Inputs!$C$18+(Inputs!$C$21-Inputs!$C$18)*(C5-1)/(MAX($C$5:$G$5)-1)</f>
        <v>0.057</v>
      </c>
      <c r="D16" s="16">
        <f>Inputs!$C$18+(Inputs!$C$21-Inputs!$C$18)*(D5-1)/(MAX($C$5:$G$5)-1)</f>
        <v>0.07025</v>
      </c>
      <c r="E16" s="16">
        <f>Inputs!$C$18+(Inputs!$C$21-Inputs!$C$18)*(E5-1)/(MAX($C$5:$G$5)-1)</f>
        <v>0.0835</v>
      </c>
      <c r="F16" s="16">
        <f>Inputs!$C$18+(Inputs!$C$21-Inputs!$C$18)*(F5-1)/(MAX($C$5:$G$5)-1)</f>
        <v>0.09675</v>
      </c>
      <c r="G16" s="16">
        <f>Inputs!$C$18+(Inputs!$C$21-Inputs!$C$18)*(G5-1)/(MAX($C$5:$G$5)-1)</f>
        <v>0.11</v>
      </c>
    </row>
    <row r="17" spans="1:7">
      <c r="A17" s="4" t="s">
        <v>62</v>
      </c>
      <c r="B17" s="4" t="s">
        <v>16</v>
      </c>
      <c r="C17" s="10">
        <f>C14*C16</f>
        <v>340.7973</v>
      </c>
      <c r="D17" s="10">
        <f>D14*D16</f>
        <v>407.41719325</v>
      </c>
      <c r="E17" s="10">
        <f>E14*E16</f>
        <v>508.474055775</v>
      </c>
      <c r="F17" s="10">
        <f>F14*F16</f>
        <v>618.618061569375</v>
      </c>
      <c r="G17" s="10">
        <f>G14*G16</f>
        <v>738.50528280375</v>
      </c>
    </row>
    <row r="18" spans="1:7">
      <c r="A18" s="4" t="s">
        <v>63</v>
      </c>
      <c r="B18" s="4" t="s">
        <v>16</v>
      </c>
      <c r="C18" s="10">
        <f>C17*(1-Inputs!$C$14)</f>
        <v>264.1179075</v>
      </c>
      <c r="D18" s="10">
        <f>D17*(1-Inputs!$C$14)</f>
        <v>315.74832476875</v>
      </c>
      <c r="E18" s="10">
        <f>E17*(1-Inputs!$C$14)</f>
        <v>394.067393225625</v>
      </c>
      <c r="F18" s="10">
        <f>F17*(1-Inputs!$C$14)</f>
        <v>479.428997716266</v>
      </c>
      <c r="G18" s="10">
        <f>G17*(1-Inputs!$C$14)</f>
        <v>572.341594172906</v>
      </c>
    </row>
    <row r="19" spans="1:7">
      <c r="A19" s="4" t="s">
        <v>64</v>
      </c>
      <c r="B19" s="4" t="s">
        <v>16</v>
      </c>
      <c r="C19" s="10">
        <f>MAX(C14-Inputs!$C$8,0)/Inputs!$C$15</f>
        <v>0</v>
      </c>
      <c r="D19" s="10">
        <f>MAX(D14-C14,0)/Inputs!$C$15</f>
        <v>0</v>
      </c>
      <c r="E19" s="10">
        <f>MAX(E14-D14,0)/Inputs!$C$15</f>
        <v>115.99066</v>
      </c>
      <c r="F19" s="10">
        <f>MAX(F14-E14,0)/Inputs!$C$15</f>
        <v>121.790193</v>
      </c>
      <c r="G19" s="10">
        <f>MAX(G14-F14,0)/Inputs!$C$15</f>
        <v>127.87970265</v>
      </c>
    </row>
    <row r="20" spans="1:7">
      <c r="A20" s="1" t="s">
        <v>65</v>
      </c>
      <c r="B20" s="4" t="s">
        <v>16</v>
      </c>
      <c r="C20" s="21">
        <f>(C18-C19)*C6</f>
        <v>166.394281725</v>
      </c>
      <c r="D20" s="21">
        <f>(D18-D19)*D6</f>
        <v>315.74832476875</v>
      </c>
      <c r="E20" s="21">
        <f>(E18-E19)*E6</f>
        <v>278.076733225625</v>
      </c>
      <c r="F20" s="21">
        <f>(F18-F19)*F6</f>
        <v>357.638804716266</v>
      </c>
      <c r="G20" s="21">
        <f>(G18-G19)*G6</f>
        <v>444.461891522906</v>
      </c>
    </row>
    <row r="21" spans="1:7">
      <c r="A21" s="4" t="s">
        <v>66</v>
      </c>
      <c r="B21" s="4" t="s">
        <v>67</v>
      </c>
      <c r="C21" s="22">
        <f>1/(1+Inputs!$C$17)^C8</f>
        <v>0.970423498242902</v>
      </c>
      <c r="D21" s="22">
        <f>1/(1+Inputs!$C$17)^D8</f>
        <v>0.897896473303984</v>
      </c>
      <c r="E21" s="22">
        <f>1/(1+Inputs!$C$17)^E8</f>
        <v>0.81626952118544</v>
      </c>
      <c r="F21" s="22">
        <f>1/(1+Inputs!$C$17)^F8</f>
        <v>0.742063201077672</v>
      </c>
      <c r="G21" s="22">
        <f>1/(1+Inputs!$C$17)^G8</f>
        <v>0.674602910070611</v>
      </c>
    </row>
    <row r="22" spans="1:7">
      <c r="A22" s="4" t="s">
        <v>68</v>
      </c>
      <c r="B22" s="4" t="s">
        <v>16</v>
      </c>
      <c r="C22" s="10">
        <f>C20*C21</f>
        <v>161.47292095919</v>
      </c>
      <c r="D22" s="10">
        <f>D20*D21</f>
        <v>283.509307261502</v>
      </c>
      <c r="E22" s="10">
        <f>E20*E21</f>
        <v>226.985561882892</v>
      </c>
      <c r="F22" s="10">
        <f>F20*F21</f>
        <v>265.390596257345</v>
      </c>
      <c r="G22" s="10">
        <f>G20*G21</f>
        <v>299.835285436841</v>
      </c>
    </row>
  </sheetData>
  <pageMargins left="0.7" right="0.7" top="0.75" bottom="0.75" header="0.3" footer="0.3"/>
  <pageSetup paperSize="1" fitToHeight="0" orientation="landscape"/>
  <headerFooter>
    <oddFooter>&amp;L&amp;A&amp;R&amp;P of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4.7109375" customWidth="1"/>
    <col min="2" max="2" width="8.7109375" customWidth="1"/>
    <col min="3" max="3" width="12.7109375" customWidth="1"/>
    <col min="4" max="4" width="70.7109375" customWidth="1"/>
  </cols>
  <sheetData>
    <row r="1" spans="1:4">
      <c r="A1" s="1" t="s">
        <v>69</v>
      </c>
    </row>
    <row r="3" spans="1:4">
      <c r="A3" s="7" t="s">
        <v>1</v>
      </c>
      <c r="B3" s="7" t="s">
        <v>2</v>
      </c>
      <c r="C3" s="7" t="s">
        <v>3</v>
      </c>
      <c r="D3" s="7" t="s">
        <v>7</v>
      </c>
    </row>
    <row r="4" spans="1:4">
      <c r="A4" s="8" t="s">
        <v>70</v>
      </c>
    </row>
    <row r="5" spans="1:4">
      <c r="A5" s="4" t="s">
        <v>71</v>
      </c>
      <c r="B5" s="4" t="s">
        <v>16</v>
      </c>
      <c r="C5" s="10">
        <f>Model!$G$14*Model!$G$16*(1-Inputs!$C$14)*(1+Inputs!$C$22)</f>
        <v>586.650134027229</v>
      </c>
    </row>
    <row r="6" spans="1:4">
      <c r="A6" s="4" t="s">
        <v>72</v>
      </c>
      <c r="B6" s="4" t="s">
        <v>16</v>
      </c>
      <c r="C6" s="10">
        <f>$C$5*(1-Inputs!$C$22/Inputs!$C$16)/(Inputs!$C$17-Inputs!$C$22)</f>
        <v>6844.251563651</v>
      </c>
    </row>
    <row r="7" spans="1:4">
      <c r="A7" s="4" t="s">
        <v>73</v>
      </c>
      <c r="B7" s="4" t="s">
        <v>16</v>
      </c>
      <c r="C7" s="10">
        <f>$C$6/(1+Inputs!$C$17)^Model!$G$7</f>
        <v>4402.28172192655</v>
      </c>
    </row>
    <row r="8" spans="1:4">
      <c r="A8" s="8" t="s">
        <v>74</v>
      </c>
    </row>
    <row r="9" spans="1:4">
      <c r="A9" s="4" t="s">
        <v>75</v>
      </c>
      <c r="B9" s="4" t="s">
        <v>16</v>
      </c>
      <c r="C9" s="10">
        <f>SUM(Model!$C$22:$G$22)</f>
        <v>1237.19367179777</v>
      </c>
    </row>
    <row r="10" spans="1:4">
      <c r="A10" s="4" t="s">
        <v>76</v>
      </c>
      <c r="B10" s="4" t="s">
        <v>16</v>
      </c>
      <c r="C10" s="10">
        <f>$C$9+$C$7</f>
        <v>5639.47539372432</v>
      </c>
    </row>
    <row r="11" spans="1:4">
      <c r="A11" s="4" t="s">
        <v>77</v>
      </c>
      <c r="B11" s="4" t="s">
        <v>21</v>
      </c>
      <c r="C11" s="23">
        <f>$C$10/Inputs!$C$12</f>
        <v>3.79251875838892</v>
      </c>
    </row>
    <row r="12" spans="1:4">
      <c r="A12" s="4" t="s">
        <v>78</v>
      </c>
      <c r="B12" s="4" t="s">
        <v>27</v>
      </c>
      <c r="C12" s="16">
        <f>$C$11/Inputs!$C$11</f>
        <v>0.107284830506051</v>
      </c>
    </row>
    <row r="13" spans="1:4">
      <c r="A13" s="4" t="s">
        <v>79</v>
      </c>
      <c r="B13" s="4" t="s">
        <v>27</v>
      </c>
      <c r="C13" s="16">
        <f>$C$7/$C$10</f>
        <v>0.78061901410643</v>
      </c>
    </row>
    <row r="14" spans="1:4">
      <c r="A14" s="8" t="s">
        <v>80</v>
      </c>
    </row>
    <row r="15" spans="1:4">
      <c r="A15" s="4" t="s">
        <v>81</v>
      </c>
      <c r="B15" s="4" t="s">
        <v>16</v>
      </c>
      <c r="C15" s="24">
        <f>Model!$G$17</f>
        <v>738.50528280375</v>
      </c>
    </row>
    <row r="16" spans="1:4">
      <c r="A16" s="4" t="s">
        <v>82</v>
      </c>
      <c r="B16" s="4" t="s">
        <v>21</v>
      </c>
      <c r="C16" s="23">
        <f>$C$15*(1-Inputs!$C$14)/Inputs!$C$12</f>
        <v>0.384896835355014</v>
      </c>
    </row>
    <row r="17" spans="1:3">
      <c r="A17" s="4" t="s">
        <v>83</v>
      </c>
      <c r="B17" s="4" t="s">
        <v>27</v>
      </c>
      <c r="C17" s="16">
        <f>Model!$G$14/Inputs!$C$9-1</f>
        <v>-0.228400828740949</v>
      </c>
    </row>
  </sheetData>
  <pageMargins left="0.7" right="0.7" top="0.75" bottom="0.75" header="0.3" footer="0.3"/>
  <pageSetup paperSize="1" fitToHeight="0" orientation="landscape"/>
  <headerFooter>
    <oddFooter>&amp;L&amp;A&amp;R&amp;P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4"/>
  <sheetViews>
    <sheetView showGridLines="0" workbookViewId="0"/>
  </sheetViews>
  <sheetFormatPr defaultRowHeight="15"/>
  <cols>
    <col min="1" max="1" width="38.7109375" customWidth="1"/>
    <col min="2" max="7" width="12.7109375" customWidth="1"/>
    <col min="8" max="8" width="60.7109375" customWidth="1"/>
  </cols>
  <sheetData>
    <row r="1" spans="1:7">
      <c r="A1" s="1" t="s">
        <v>84</v>
      </c>
    </row>
    <row r="3" spans="1:7">
      <c r="A3" s="1" t="s">
        <v>85</v>
      </c>
    </row>
    <row r="4" spans="1:7">
      <c r="A4" s="7" t="s">
        <v>86</v>
      </c>
      <c r="B4" s="7" t="s">
        <v>74</v>
      </c>
      <c r="C4" s="7" t="s">
        <v>87</v>
      </c>
      <c r="D4" s="7" t="s">
        <v>5</v>
      </c>
      <c r="E4" s="7" t="s">
        <v>88</v>
      </c>
      <c r="F4" s="7" t="s">
        <v>89</v>
      </c>
      <c r="G4" s="7" t="s">
        <v>90</v>
      </c>
    </row>
    <row r="5" spans="1:7">
      <c r="A5" s="1" t="s">
        <v>91</v>
      </c>
      <c r="B5" s="24">
        <f>Model!$C$22</f>
        <v>161.47292095919</v>
      </c>
      <c r="C5" s="10">
        <f>B5</f>
        <v>161.47292095919</v>
      </c>
      <c r="D5" s="10"/>
      <c r="E5" s="10"/>
      <c r="F5" s="10"/>
      <c r="G5" s="10">
        <f>B5</f>
        <v>161.47292095919</v>
      </c>
    </row>
    <row r="6" spans="1:7">
      <c r="A6" s="4" t="s">
        <v>92</v>
      </c>
      <c r="B6" s="24">
        <f>Model!$D$22</f>
        <v>283.509307261502</v>
      </c>
      <c r="C6" s="10">
        <f>C5+B6</f>
        <v>444.982228220691</v>
      </c>
      <c r="D6" s="10">
        <f>MIN(C5,C6)</f>
        <v>161.47292095919</v>
      </c>
      <c r="E6" s="10">
        <f>MAX(B6,0)</f>
        <v>283.509307261502</v>
      </c>
      <c r="F6" s="10">
        <f>MAX(-B6,0)</f>
        <v>0</v>
      </c>
      <c r="G6" s="10"/>
    </row>
    <row r="7" spans="1:7">
      <c r="A7" s="4" t="s">
        <v>93</v>
      </c>
      <c r="B7" s="24">
        <f>Model!$E$22</f>
        <v>226.985561882892</v>
      </c>
      <c r="C7" s="10">
        <f>C6+B7</f>
        <v>671.967790103583</v>
      </c>
      <c r="D7" s="10">
        <f>MIN(C6,C7)</f>
        <v>444.982228220691</v>
      </c>
      <c r="E7" s="10">
        <f>MAX(B7,0)</f>
        <v>226.985561882892</v>
      </c>
      <c r="F7" s="10">
        <f>MAX(-B7,0)</f>
        <v>0</v>
      </c>
      <c r="G7" s="10"/>
    </row>
    <row r="8" spans="1:7">
      <c r="A8" s="4" t="s">
        <v>94</v>
      </c>
      <c r="B8" s="24">
        <f>Model!$F$22</f>
        <v>265.390596257345</v>
      </c>
      <c r="C8" s="10">
        <f>C7+B8</f>
        <v>937.358386360928</v>
      </c>
      <c r="D8" s="10">
        <f>MIN(C7,C8)</f>
        <v>671.967790103583</v>
      </c>
      <c r="E8" s="10">
        <f>MAX(B8,0)</f>
        <v>265.390596257345</v>
      </c>
      <c r="F8" s="10">
        <f>MAX(-B8,0)</f>
        <v>0</v>
      </c>
      <c r="G8" s="10"/>
    </row>
    <row r="9" spans="1:7">
      <c r="A9" s="4" t="s">
        <v>95</v>
      </c>
      <c r="B9" s="24">
        <f>Model!$G$22</f>
        <v>299.835285436841</v>
      </c>
      <c r="C9" s="10">
        <f>C8+B9</f>
        <v>1237.19367179777</v>
      </c>
      <c r="D9" s="10">
        <f>MIN(C8,C9)</f>
        <v>937.358386360928</v>
      </c>
      <c r="E9" s="10">
        <f>MAX(B9,0)</f>
        <v>299.835285436841</v>
      </c>
      <c r="F9" s="10">
        <f>MAX(-B9,0)</f>
        <v>0</v>
      </c>
      <c r="G9" s="10"/>
    </row>
    <row r="10" spans="1:7">
      <c r="A10" s="4" t="s">
        <v>96</v>
      </c>
      <c r="B10" s="24">
        <f>Valuation!$C$7</f>
        <v>4402.28172192655</v>
      </c>
      <c r="C10" s="10">
        <f>C9+B10</f>
        <v>5639.47539372432</v>
      </c>
      <c r="D10" s="10">
        <f>MIN(C9,C10)</f>
        <v>1237.19367179777</v>
      </c>
      <c r="E10" s="10">
        <f>MAX(B10,0)</f>
        <v>4402.28172192655</v>
      </c>
      <c r="F10" s="10">
        <f>MAX(-B10,0)</f>
        <v>0</v>
      </c>
      <c r="G10" s="10"/>
    </row>
    <row r="11" spans="1:7">
      <c r="A11" s="1" t="s">
        <v>97</v>
      </c>
      <c r="C11" s="10">
        <f>C10</f>
        <v>5639.47539372432</v>
      </c>
      <c r="D11" s="10"/>
      <c r="E11" s="10"/>
      <c r="F11" s="10"/>
      <c r="G11" s="21">
        <f>C11</f>
        <v>5639.47539372432</v>
      </c>
    </row>
    <row r="12" spans="1:7">
      <c r="A12" s="2" t="s">
        <v>98</v>
      </c>
    </row>
    <row r="36" spans="1:7">
      <c r="A36" s="1" t="s">
        <v>99</v>
      </c>
    </row>
    <row r="37" spans="1:7">
      <c r="A37" s="7" t="s">
        <v>100</v>
      </c>
      <c r="B37" s="7" t="s">
        <v>101</v>
      </c>
      <c r="C37" s="7" t="s">
        <v>102</v>
      </c>
      <c r="D37" s="7" t="s">
        <v>103</v>
      </c>
      <c r="E37" s="7" t="s">
        <v>104</v>
      </c>
    </row>
    <row r="38" spans="1:7">
      <c r="A38" s="4" t="s">
        <v>105</v>
      </c>
      <c r="B38" s="12">
        <v>2.32</v>
      </c>
      <c r="C38" s="12">
        <v>5.96</v>
      </c>
      <c r="D38" s="23">
        <f>C38-B38</f>
        <v>3.64</v>
      </c>
      <c r="E38" s="2" t="s">
        <v>106</v>
      </c>
    </row>
    <row r="39" spans="1:7">
      <c r="A39" s="4" t="s">
        <v>107</v>
      </c>
      <c r="B39" s="12">
        <v>2.14</v>
      </c>
      <c r="C39" s="12">
        <v>5.78</v>
      </c>
      <c r="D39" s="23">
        <f>C39-B39</f>
        <v>3.64</v>
      </c>
      <c r="E39" s="2" t="s">
        <v>108</v>
      </c>
    </row>
    <row r="40" spans="1:7">
      <c r="A40" s="4" t="s">
        <v>109</v>
      </c>
      <c r="B40" s="12">
        <v>1.82</v>
      </c>
      <c r="C40" s="12">
        <v>4.57</v>
      </c>
      <c r="D40" s="23">
        <f>C40-B40</f>
        <v>2.75</v>
      </c>
      <c r="E40" s="2" t="s">
        <v>108</v>
      </c>
    </row>
    <row r="41" spans="1:7">
      <c r="A41" s="4" t="s">
        <v>110</v>
      </c>
      <c r="B41" s="12">
        <v>5.68</v>
      </c>
      <c r="C41" s="12">
        <v>5.699999999999999</v>
      </c>
      <c r="D41" s="23">
        <f>C41-B41</f>
        <v>0.0199999999999996</v>
      </c>
      <c r="E41" s="2" t="s">
        <v>111</v>
      </c>
    </row>
    <row r="42" spans="1:7">
      <c r="A42" s="1" t="s">
        <v>112</v>
      </c>
      <c r="B42" s="23">
        <f>F42-ABS(F42)*G42</f>
        <v>3.77355616459697</v>
      </c>
      <c r="C42" s="23">
        <f>F42+ABS(F42)*G42</f>
        <v>3.81148135218086</v>
      </c>
      <c r="D42" s="23">
        <f>C42-B42</f>
        <v>0.0379251875838893</v>
      </c>
      <c r="E42" s="2" t="s">
        <v>113</v>
      </c>
      <c r="F42" s="25">
        <f>Valuation!$C$11</f>
        <v>3.79251875838892</v>
      </c>
      <c r="G42" s="26">
        <v>0.005</v>
      </c>
    </row>
    <row r="44" spans="1:7">
      <c r="A44" s="2" t="s">
        <v>114</v>
      </c>
    </row>
  </sheetData>
  <pageMargins left="0.7" right="0.7" top="0.75" bottom="0.75" header="0.3" footer="0.3"/>
  <pageSetup paperSize="1" fitToHeight="0" orientation="landscape"/>
  <headerFooter>
    <oddFooter>&amp;L&amp;A&amp;R&amp;P of &amp;N</oddFooter>
  </headerFooter>
  <rowBreaks count="1" manualBreakCount="1">
    <brk id="34" max="16383" man="1"/>
  </rowBreak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/>
  </sheetViews>
  <sheetFormatPr defaultRowHeight="15"/>
  <cols>
    <col min="1" max="1" width="48.7109375" customWidth="1"/>
    <col min="2" max="4" width="14.7109375" customWidth="1"/>
  </cols>
  <sheetData>
    <row r="1" spans="1:4">
      <c r="A1" s="1" t="s">
        <v>115</v>
      </c>
      <c r="B1" s="1" t="s">
        <v>74</v>
      </c>
      <c r="C1" s="1" t="s">
        <v>116</v>
      </c>
      <c r="D1" s="1" t="s">
        <v>117</v>
      </c>
    </row>
    <row r="2" spans="1:4">
      <c r="A2" s="4" t="s">
        <v>118</v>
      </c>
      <c r="B2" s="27">
        <f>Model!$G$16-Inputs!$C$21</f>
        <v>0</v>
      </c>
      <c r="C2" s="28">
        <v>0.001</v>
      </c>
      <c r="D2" s="29">
        <f>IF(ABS(B2)&lt;=C2,1,0)</f>
        <v>1</v>
      </c>
    </row>
    <row r="3" spans="1:4">
      <c r="A3" s="4" t="s">
        <v>119</v>
      </c>
      <c r="B3" s="29">
        <f>IF(Inputs!$C$22&lt;Inputs!$C$17,1,0)</f>
        <v>1</v>
      </c>
      <c r="C3" s="2" t="s">
        <v>120</v>
      </c>
      <c r="D3" s="29">
        <f>B3</f>
        <v>1</v>
      </c>
    </row>
    <row r="4" spans="1:4">
      <c r="A4" s="4" t="s">
        <v>121</v>
      </c>
      <c r="B4" s="29">
        <f>IF(MIN(Model!$C$14:$G$14)&gt;=0,1,0)</f>
        <v>1</v>
      </c>
      <c r="C4" s="2" t="s">
        <v>120</v>
      </c>
      <c r="D4" s="29">
        <f>B4</f>
        <v>1</v>
      </c>
    </row>
    <row r="5" spans="1:4">
      <c r="A5" s="4" t="s">
        <v>122</v>
      </c>
      <c r="B5" s="27">
        <f>Valuation!$C$10-SUM(Model!$C$22:$G$22)-Valuation!$C$7</f>
        <v>0</v>
      </c>
      <c r="C5" s="28">
        <v>0.001</v>
      </c>
      <c r="D5" s="29">
        <f>IF(ABS(B5)&lt;=C5,1,0)</f>
        <v>1</v>
      </c>
    </row>
    <row r="6" spans="1:4">
      <c r="A6" s="4" t="s">
        <v>123</v>
      </c>
      <c r="B6" s="27">
        <f>Model!$G$7-(Inputs!$C$19+MAX(Model!$C$5:$G$5)-1)</f>
        <v>0</v>
      </c>
      <c r="C6" s="28">
        <v>0.001</v>
      </c>
      <c r="D6" s="29">
        <f>IF(ABS(B6)&lt;=C6,1,0)</f>
        <v>1</v>
      </c>
    </row>
    <row r="7" spans="1:4">
      <c r="A7" s="4" t="s">
        <v>124</v>
      </c>
      <c r="B7" s="27">
        <f>Charts!$G$11-Charts!$B$5-SUM(Charts!$B$6:$B$10)</f>
        <v>0</v>
      </c>
      <c r="C7" s="28">
        <v>0.001</v>
      </c>
      <c r="D7" s="29">
        <f>IF(ABS(B7)&lt;=C7,1,0)</f>
        <v>1</v>
      </c>
    </row>
    <row r="9" spans="1:4">
      <c r="A9" s="1" t="s">
        <v>125</v>
      </c>
      <c r="D9" s="30">
        <f>IF(SUM(D2:D7)=COUNT(D2:D7),1,0)</f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45</vt:i4>
      </vt:variant>
    </vt:vector>
  </HeadingPairs>
  <TitlesOfParts>
    <vt:vector size="51" baseType="lpstr">
      <vt:lpstr>Cover</vt:lpstr>
      <vt:lpstr>Inputs</vt:lpstr>
      <vt:lpstr>Model</vt:lpstr>
      <vt:lpstr>Valuation</vt:lpstr>
      <vt:lpstr>Charts</vt:lpstr>
      <vt:lpstr>Checks</vt:lpstr>
      <vt:lpstr>k_Inputs_case</vt:lpstr>
      <vt:lpstr>k_Inputs_case_idx</vt:lpstr>
      <vt:lpstr>k_Inputs_g</vt:lpstr>
      <vt:lpstr>k_Inputs_j24</vt:lpstr>
      <vt:lpstr>k_Inputs_j26</vt:lpstr>
      <vt:lpstr>k_Inputs_m0</vt:lpstr>
      <vt:lpstr>k_Inputs_price</vt:lpstr>
      <vt:lpstr>k_Inputs_roic</vt:lpstr>
      <vt:lpstr>k_Inputs_s2c</vt:lpstr>
      <vt:lpstr>k_Inputs_shares</vt:lpstr>
      <vt:lpstr>k_Inputs_target_margin</vt:lpstr>
      <vt:lpstr>k_Inputs_tax</vt:lpstr>
      <vt:lpstr>k_Inputs_w27</vt:lpstr>
      <vt:lpstr>k_Inputs_wacc</vt:lpstr>
      <vt:lpstr>k_Model_df</vt:lpstr>
      <vt:lpstr>k_Model_ebit</vt:lpstr>
      <vt:lpstr>k_Model_fcf</vt:lpstr>
      <vt:lpstr>k_Model_growth</vt:lpstr>
      <vt:lpstr>k_Model_growth_base</vt:lpstr>
      <vt:lpstr>k_Model_growth_bear</vt:lpstr>
      <vt:lpstr>k_Model_growth_bull</vt:lpstr>
      <vt:lpstr>k_Model_margin</vt:lpstr>
      <vt:lpstr>k_Model_nopat</vt:lpstr>
      <vt:lpstr>k_Model_pv</vt:lpstr>
      <vt:lpstr>k_Model_reinv</vt:lpstr>
      <vt:lpstr>k_Model_rev</vt:lpstr>
      <vt:lpstr>k_Model_t</vt:lpstr>
      <vt:lpstr>k_Model_t_end</vt:lpstr>
      <vt:lpstr>k_Model_t_mid</vt:lpstr>
      <vt:lpstr>k_Model_w</vt:lpstr>
      <vt:lpstr>k_Valuation_ebit31</vt:lpstr>
      <vt:lpstr>k_Valuation_eps31</vt:lpstr>
      <vt:lpstr>k_Valuation_ev</vt:lpstr>
      <vt:lpstr>k_Valuation_nopat_next</vt:lpstr>
      <vt:lpstr>k_Valuation_pct_price</vt:lpstr>
      <vt:lpstr>k_Valuation_per_share</vt:lpstr>
      <vt:lpstr>k_Valuation_pv_fcf</vt:lpstr>
      <vt:lpstr>k_Valuation_pv_tv</vt:lpstr>
      <vt:lpstr>k_Valuation_tv</vt:lpstr>
      <vt:lpstr>k_Valuation_tv_share</vt:lpstr>
      <vt:lpstr>k_Valuation_vs_peak</vt:lpstr>
      <vt:lpstr>MasterCheck</vt:lpstr>
      <vt:lpstr>Inputs!Print_Titles</vt:lpstr>
      <vt:lpstr>Model!Print_Titles</vt:lpstr>
      <vt:lpstr>Valuation!Print_Titles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2026-10-13T23:50:37Z</dcterms:created>
  <dcterms:modified xsi:type="dcterms:W3CDTF">2026-10-13T23:50:37Z</dcterms:modified>
</cp:coreProperties>
</file>