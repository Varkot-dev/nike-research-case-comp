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Z:\accounting\Closing\2023\2023Q4(70Q4)\決算補足説明資料\00. HPアップロード資料\"/>
    </mc:Choice>
  </mc:AlternateContent>
  <xr:revisionPtr revIDLastSave="0" documentId="13_ncr:1_{E4E317E7-AC83-42E8-B85B-EAB665FBC983}" xr6:coauthVersionLast="47" xr6:coauthVersionMax="47" xr10:uidLastSave="{00000000-0000-0000-0000-000000000000}"/>
  <bookViews>
    <workbookView xWindow="-110" yWindow="-110" windowWidth="21820" windowHeight="14020" activeTab="4" xr2:uid="{00000000-000D-0000-FFFF-FFFF00000000}"/>
  </bookViews>
  <sheets>
    <sheet name="1-2" sheetId="7" r:id="rId1"/>
    <sheet name="3" sheetId="8" r:id="rId2"/>
    <sheet name="4-5" sheetId="9" r:id="rId3"/>
    <sheet name="6" sheetId="10" r:id="rId4"/>
    <sheet name="7" sheetId="11" r:id="rId5"/>
  </sheets>
  <definedNames>
    <definedName name="_xlnm.Print_Area" localSheetId="0">'1-2'!$A$1:$O$33</definedName>
    <definedName name="_xlnm.Print_Area" localSheetId="1">'3'!$A$1:$O$32</definedName>
    <definedName name="_xlnm.Print_Area" localSheetId="2">'4-5'!$A$1:$L$36</definedName>
    <definedName name="_xlnm.Print_Area" localSheetId="3">'6'!$A$1:$L$38</definedName>
    <definedName name="_xlnm.Print_Area" localSheetId="4">'7'!$A$1:$L$29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2" i="8" l="1"/>
  <c r="O28" i="8"/>
  <c r="O24" i="8"/>
  <c r="O20" i="8"/>
  <c r="K25" i="7" l="1"/>
  <c r="F24" i="7"/>
  <c r="E25" i="7"/>
  <c r="M15" i="7"/>
  <c r="N32" i="7"/>
  <c r="N33" i="7" s="1"/>
  <c r="N31" i="7"/>
  <c r="M31" i="7" s="1"/>
  <c r="N28" i="7"/>
  <c r="N27" i="7"/>
  <c r="M27" i="7" s="1"/>
  <c r="N24" i="7"/>
  <c r="N23" i="7"/>
  <c r="M23" i="7" s="1"/>
  <c r="N20" i="7"/>
  <c r="M20" i="7" s="1"/>
  <c r="N19" i="7"/>
  <c r="M19" i="7" s="1"/>
  <c r="N16" i="7"/>
  <c r="M16" i="7" s="1"/>
  <c r="N15" i="7"/>
  <c r="J32" i="7"/>
  <c r="J31" i="7"/>
  <c r="J28" i="7"/>
  <c r="J27" i="7"/>
  <c r="J24" i="7"/>
  <c r="J25" i="7" s="1"/>
  <c r="J23" i="7"/>
  <c r="J20" i="7"/>
  <c r="J21" i="7" s="1"/>
  <c r="J19" i="7"/>
  <c r="J16" i="7"/>
  <c r="J15" i="7"/>
  <c r="K33" i="7"/>
  <c r="K29" i="7"/>
  <c r="K21" i="7"/>
  <c r="K17" i="7"/>
  <c r="I33" i="7"/>
  <c r="I29" i="7"/>
  <c r="I25" i="7"/>
  <c r="I21" i="7"/>
  <c r="I17" i="7"/>
  <c r="E33" i="7"/>
  <c r="E29" i="7"/>
  <c r="E21" i="7"/>
  <c r="E17" i="7"/>
  <c r="F23" i="7"/>
  <c r="F20" i="7"/>
  <c r="G32" i="7"/>
  <c r="F32" i="7" s="1"/>
  <c r="G31" i="7"/>
  <c r="F31" i="7" s="1"/>
  <c r="G28" i="7"/>
  <c r="F28" i="7" s="1"/>
  <c r="G27" i="7"/>
  <c r="F27" i="7" s="1"/>
  <c r="G24" i="7"/>
  <c r="G23" i="7"/>
  <c r="G20" i="7"/>
  <c r="G21" i="7" s="1"/>
  <c r="G19" i="7"/>
  <c r="F19" i="7" s="1"/>
  <c r="G16" i="7"/>
  <c r="F16" i="7" s="1"/>
  <c r="G15" i="7"/>
  <c r="F15" i="7" s="1"/>
  <c r="C17" i="7"/>
  <c r="C16" i="7"/>
  <c r="C15" i="7"/>
  <c r="L31" i="10"/>
  <c r="L27" i="10"/>
  <c r="L23" i="10"/>
  <c r="L19" i="10"/>
  <c r="L15" i="10"/>
  <c r="L11" i="10"/>
  <c r="L7" i="10"/>
  <c r="I31" i="10"/>
  <c r="H31" i="10"/>
  <c r="G31" i="10"/>
  <c r="I27" i="10"/>
  <c r="H27" i="10"/>
  <c r="G27" i="10"/>
  <c r="I23" i="10"/>
  <c r="H23" i="10"/>
  <c r="G23" i="10"/>
  <c r="I19" i="10"/>
  <c r="H19" i="10"/>
  <c r="G19" i="10"/>
  <c r="I15" i="10"/>
  <c r="H15" i="10"/>
  <c r="G15" i="10"/>
  <c r="I11" i="10"/>
  <c r="H11" i="10"/>
  <c r="G11" i="10"/>
  <c r="I7" i="10"/>
  <c r="H7" i="10"/>
  <c r="G7" i="10"/>
  <c r="L30" i="9"/>
  <c r="L26" i="9"/>
  <c r="L22" i="9"/>
  <c r="L18" i="9"/>
  <c r="L14" i="9"/>
  <c r="K30" i="9"/>
  <c r="J30" i="9"/>
  <c r="I30" i="9"/>
  <c r="H30" i="9"/>
  <c r="G30" i="9"/>
  <c r="K26" i="9"/>
  <c r="J26" i="9"/>
  <c r="I26" i="9"/>
  <c r="K22" i="9"/>
  <c r="J22" i="9"/>
  <c r="I22" i="9"/>
  <c r="H22" i="9"/>
  <c r="G22" i="9"/>
  <c r="K18" i="9"/>
  <c r="J18" i="9"/>
  <c r="I18" i="9"/>
  <c r="H18" i="9"/>
  <c r="G18" i="9"/>
  <c r="K14" i="9"/>
  <c r="J14" i="9"/>
  <c r="I14" i="9"/>
  <c r="H14" i="9"/>
  <c r="G14" i="9"/>
  <c r="M26" i="8"/>
  <c r="M23" i="8"/>
  <c r="M22" i="8"/>
  <c r="M10" i="8"/>
  <c r="N31" i="8"/>
  <c r="N30" i="8"/>
  <c r="M30" i="8" s="1"/>
  <c r="N27" i="8"/>
  <c r="N28" i="8" s="1"/>
  <c r="N26" i="8"/>
  <c r="N23" i="8"/>
  <c r="N22" i="8"/>
  <c r="N19" i="8"/>
  <c r="N18" i="8"/>
  <c r="M18" i="8" s="1"/>
  <c r="N15" i="8"/>
  <c r="N14" i="8"/>
  <c r="M14" i="8" s="1"/>
  <c r="N11" i="8"/>
  <c r="N10" i="8"/>
  <c r="N7" i="8"/>
  <c r="N6" i="8"/>
  <c r="O16" i="8"/>
  <c r="O12" i="8"/>
  <c r="L31" i="8"/>
  <c r="L30" i="8"/>
  <c r="L27" i="8"/>
  <c r="L26" i="8"/>
  <c r="L23" i="8"/>
  <c r="L22" i="8"/>
  <c r="L19" i="8"/>
  <c r="L18" i="8"/>
  <c r="L15" i="8"/>
  <c r="L14" i="8"/>
  <c r="L11" i="8"/>
  <c r="L12" i="8" s="1"/>
  <c r="L10" i="8"/>
  <c r="L7" i="8"/>
  <c r="L6" i="8"/>
  <c r="L8" i="8" s="1"/>
  <c r="J31" i="8"/>
  <c r="J30" i="8"/>
  <c r="J27" i="8"/>
  <c r="J28" i="8" s="1"/>
  <c r="J26" i="8"/>
  <c r="J23" i="8"/>
  <c r="J24" i="8" s="1"/>
  <c r="J22" i="8"/>
  <c r="J19" i="8"/>
  <c r="J20" i="8" s="1"/>
  <c r="J18" i="8"/>
  <c r="J15" i="8"/>
  <c r="J14" i="8"/>
  <c r="J11" i="8"/>
  <c r="J10" i="8"/>
  <c r="J7" i="8"/>
  <c r="J6" i="8"/>
  <c r="K32" i="8"/>
  <c r="K28" i="8"/>
  <c r="K24" i="8"/>
  <c r="K20" i="8"/>
  <c r="K16" i="8"/>
  <c r="K12" i="8"/>
  <c r="K8" i="8"/>
  <c r="I32" i="8"/>
  <c r="I28" i="8"/>
  <c r="I24" i="8"/>
  <c r="I20" i="8"/>
  <c r="I16" i="8"/>
  <c r="I12" i="8"/>
  <c r="I8" i="8"/>
  <c r="H32" i="8"/>
  <c r="H28" i="8"/>
  <c r="H24" i="8"/>
  <c r="H20" i="8"/>
  <c r="H16" i="8"/>
  <c r="H12" i="8"/>
  <c r="H8" i="8"/>
  <c r="G31" i="8"/>
  <c r="G30" i="8"/>
  <c r="F30" i="8" s="1"/>
  <c r="G27" i="8"/>
  <c r="F27" i="8" s="1"/>
  <c r="G26" i="8"/>
  <c r="G23" i="8"/>
  <c r="G22" i="8"/>
  <c r="G19" i="8"/>
  <c r="F19" i="8" s="1"/>
  <c r="G18" i="8"/>
  <c r="F18" i="8" s="1"/>
  <c r="G15" i="8"/>
  <c r="F15" i="8" s="1"/>
  <c r="G14" i="8"/>
  <c r="G11" i="8"/>
  <c r="F11" i="8" s="1"/>
  <c r="G10" i="8"/>
  <c r="G7" i="8"/>
  <c r="G6" i="8"/>
  <c r="F6" i="8" s="1"/>
  <c r="E31" i="8"/>
  <c r="E30" i="8"/>
  <c r="E27" i="8"/>
  <c r="E26" i="8"/>
  <c r="E23" i="8"/>
  <c r="E22" i="8"/>
  <c r="E19" i="8"/>
  <c r="E18" i="8"/>
  <c r="E20" i="8" s="1"/>
  <c r="E15" i="8"/>
  <c r="E14" i="8"/>
  <c r="E11" i="8"/>
  <c r="E10" i="8"/>
  <c r="E7" i="8"/>
  <c r="F7" i="8" s="1"/>
  <c r="E6" i="8"/>
  <c r="C31" i="8"/>
  <c r="C32" i="8" s="1"/>
  <c r="C30" i="8"/>
  <c r="C27" i="8"/>
  <c r="C26" i="8"/>
  <c r="C23" i="8"/>
  <c r="C22" i="8"/>
  <c r="C19" i="8"/>
  <c r="C18" i="8"/>
  <c r="C15" i="8"/>
  <c r="C16" i="8" s="1"/>
  <c r="C14" i="8"/>
  <c r="C11" i="8"/>
  <c r="C10" i="8"/>
  <c r="C7" i="8"/>
  <c r="C6" i="8"/>
  <c r="D32" i="8"/>
  <c r="D28" i="8"/>
  <c r="D24" i="8"/>
  <c r="D20" i="8"/>
  <c r="D16" i="8"/>
  <c r="D12" i="8"/>
  <c r="B32" i="8"/>
  <c r="B28" i="8"/>
  <c r="B20" i="8"/>
  <c r="B16" i="8"/>
  <c r="B8" i="8"/>
  <c r="H33" i="7"/>
  <c r="H29" i="7"/>
  <c r="H25" i="7"/>
  <c r="H21" i="7"/>
  <c r="H17" i="7"/>
  <c r="C32" i="7"/>
  <c r="C31" i="7"/>
  <c r="C28" i="7"/>
  <c r="C27" i="7"/>
  <c r="C24" i="7"/>
  <c r="C23" i="7"/>
  <c r="C20" i="7"/>
  <c r="C19" i="7"/>
  <c r="N8" i="7"/>
  <c r="N6" i="7"/>
  <c r="N5" i="7"/>
  <c r="J8" i="7"/>
  <c r="L8" i="7" s="1"/>
  <c r="J6" i="7"/>
  <c r="J5" i="7"/>
  <c r="L5" i="7" s="1"/>
  <c r="G8" i="7"/>
  <c r="G6" i="7"/>
  <c r="G5" i="7"/>
  <c r="D7" i="7"/>
  <c r="L6" i="9"/>
  <c r="E8" i="7"/>
  <c r="E6" i="7"/>
  <c r="E5" i="7"/>
  <c r="F5" i="7" s="1"/>
  <c r="C8" i="7"/>
  <c r="C6" i="7"/>
  <c r="C5" i="7"/>
  <c r="I7" i="7"/>
  <c r="M11" i="8" l="1"/>
  <c r="M12" i="8" s="1"/>
  <c r="J16" i="8"/>
  <c r="M24" i="8"/>
  <c r="G32" i="8"/>
  <c r="C28" i="8"/>
  <c r="M27" i="8"/>
  <c r="M28" i="8" s="1"/>
  <c r="G17" i="7"/>
  <c r="J32" i="8"/>
  <c r="N20" i="8"/>
  <c r="G33" i="7"/>
  <c r="J29" i="7"/>
  <c r="N25" i="7"/>
  <c r="C24" i="8"/>
  <c r="N32" i="8"/>
  <c r="F31" i="8"/>
  <c r="F21" i="7"/>
  <c r="G29" i="7"/>
  <c r="N16" i="8"/>
  <c r="M15" i="8"/>
  <c r="M16" i="8" s="1"/>
  <c r="C33" i="7"/>
  <c r="G8" i="8"/>
  <c r="F23" i="8"/>
  <c r="M7" i="8"/>
  <c r="N24" i="8"/>
  <c r="J33" i="7"/>
  <c r="N29" i="7"/>
  <c r="L32" i="8"/>
  <c r="C12" i="8"/>
  <c r="M31" i="8"/>
  <c r="M32" i="8" s="1"/>
  <c r="N17" i="7"/>
  <c r="C20" i="8"/>
  <c r="G28" i="8"/>
  <c r="J12" i="8"/>
  <c r="M19" i="8"/>
  <c r="M20" i="8" s="1"/>
  <c r="G25" i="7"/>
  <c r="N21" i="7"/>
  <c r="N12" i="8"/>
  <c r="M32" i="7"/>
  <c r="M33" i="7" s="1"/>
  <c r="M28" i="7"/>
  <c r="M29" i="7" s="1"/>
  <c r="M24" i="7"/>
  <c r="M25" i="7" s="1"/>
  <c r="N8" i="8"/>
  <c r="M6" i="8"/>
  <c r="M8" i="8" s="1"/>
  <c r="M21" i="7"/>
  <c r="F33" i="7"/>
  <c r="F29" i="7"/>
  <c r="F25" i="7"/>
  <c r="L28" i="8"/>
  <c r="L24" i="8"/>
  <c r="L20" i="8"/>
  <c r="L16" i="8"/>
  <c r="F32" i="8"/>
  <c r="F26" i="8"/>
  <c r="F28" i="8" s="1"/>
  <c r="G24" i="8"/>
  <c r="F22" i="8"/>
  <c r="F24" i="8" s="1"/>
  <c r="F20" i="8"/>
  <c r="G20" i="8"/>
  <c r="G16" i="8"/>
  <c r="F14" i="8"/>
  <c r="F16" i="8" s="1"/>
  <c r="G12" i="8"/>
  <c r="F10" i="8"/>
  <c r="F12" i="8"/>
  <c r="E32" i="8"/>
  <c r="E28" i="8"/>
  <c r="E24" i="8"/>
  <c r="E16" i="8"/>
  <c r="E12" i="8"/>
  <c r="E8" i="8"/>
  <c r="C8" i="8"/>
  <c r="N7" i="7"/>
  <c r="G7" i="7"/>
  <c r="M8" i="7"/>
  <c r="F8" i="7"/>
  <c r="F6" i="7"/>
  <c r="F7" i="7" s="1"/>
  <c r="M5" i="7"/>
  <c r="C29" i="7"/>
  <c r="J8" i="8"/>
  <c r="C7" i="7"/>
  <c r="C25" i="7"/>
  <c r="J17" i="7"/>
  <c r="L17" i="7"/>
  <c r="C21" i="7"/>
  <c r="F17" i="7"/>
  <c r="F8" i="8"/>
  <c r="L33" i="7"/>
  <c r="L29" i="7"/>
  <c r="L21" i="7"/>
  <c r="J7" i="7"/>
  <c r="L6" i="7"/>
  <c r="M6" i="7" s="1"/>
  <c r="E7" i="7"/>
  <c r="L25" i="7" l="1"/>
  <c r="L7" i="7"/>
  <c r="M7" i="7"/>
  <c r="M17" i="7" l="1"/>
</calcChain>
</file>

<file path=xl/sharedStrings.xml><?xml version="1.0" encoding="utf-8"?>
<sst xmlns="http://schemas.openxmlformats.org/spreadsheetml/2006/main" count="434" uniqueCount="104">
  <si>
    <t>1.連結ハイライト</t>
    <rPh sb="2" eb="4">
      <t>レンケツ</t>
    </rPh>
    <phoneticPr fontId="2"/>
  </si>
  <si>
    <t>Financial Highlights</t>
    <phoneticPr fontId="2"/>
  </si>
  <si>
    <t>単位：百万円
Unit：M JPY</t>
    <rPh sb="0" eb="2">
      <t>タンイ</t>
    </rPh>
    <rPh sb="3" eb="6">
      <t>ヒャクマンエン</t>
    </rPh>
    <phoneticPr fontId="2"/>
  </si>
  <si>
    <t>FY2022</t>
    <phoneticPr fontId="2"/>
  </si>
  <si>
    <t>FY2023</t>
    <phoneticPr fontId="2"/>
  </si>
  <si>
    <t>Q1</t>
    <phoneticPr fontId="2"/>
  </si>
  <si>
    <t>Q2</t>
    <phoneticPr fontId="2"/>
  </si>
  <si>
    <t>1st Half</t>
    <phoneticPr fontId="2"/>
  </si>
  <si>
    <t>Q3</t>
    <phoneticPr fontId="2"/>
  </si>
  <si>
    <t>Q4</t>
    <phoneticPr fontId="2"/>
  </si>
  <si>
    <t>2nd Half</t>
    <phoneticPr fontId="2"/>
  </si>
  <si>
    <t>Full Year</t>
    <phoneticPr fontId="2"/>
  </si>
  <si>
    <t>売上高
Net Sales</t>
    <rPh sb="0" eb="3">
      <t>ウリアゲダカ</t>
    </rPh>
    <phoneticPr fontId="2"/>
  </si>
  <si>
    <t>営業利益
Operating Income</t>
    <rPh sb="0" eb="4">
      <t>エイギョウリエキ</t>
    </rPh>
    <phoneticPr fontId="2"/>
  </si>
  <si>
    <t>営業利益率
Operating Income Margin</t>
    <rPh sb="0" eb="5">
      <t>エイギョウリエキリツ</t>
    </rPh>
    <phoneticPr fontId="2"/>
  </si>
  <si>
    <r>
      <t xml:space="preserve">親会社株主に帰属する当期純利益
</t>
    </r>
    <r>
      <rPr>
        <sz val="10"/>
        <color theme="1"/>
        <rFont val="BIZ UDPゴシック"/>
        <family val="3"/>
        <charset val="128"/>
      </rPr>
      <t>Profit Attributable to
Owners of Parent</t>
    </r>
    <rPh sb="0" eb="5">
      <t>オヤガイシャカブヌシ</t>
    </rPh>
    <rPh sb="6" eb="8">
      <t>キゾク</t>
    </rPh>
    <rPh sb="10" eb="15">
      <t>トウキジュンリエキ</t>
    </rPh>
    <phoneticPr fontId="2"/>
  </si>
  <si>
    <t>2.カテゴリー別業績</t>
    <rPh sb="7" eb="8">
      <t>ベツ</t>
    </rPh>
    <rPh sb="8" eb="10">
      <t>ギョウセキ</t>
    </rPh>
    <phoneticPr fontId="2"/>
  </si>
  <si>
    <t>Sales and Category Profit by Category</t>
    <phoneticPr fontId="2"/>
  </si>
  <si>
    <t>パフォーマンススポーツランニング Performance Running</t>
    <phoneticPr fontId="2"/>
  </si>
  <si>
    <t>コアパフォーマンススポーツ Core Performance Sports</t>
    <phoneticPr fontId="2"/>
  </si>
  <si>
    <t>スポーツスタイル SportStyle</t>
    <phoneticPr fontId="2"/>
  </si>
  <si>
    <t>アパレル・イクイップメント Apparrel and Equipment</t>
    <phoneticPr fontId="2"/>
  </si>
  <si>
    <t>オニツカタイガー Onitsuka Tiger</t>
    <phoneticPr fontId="2"/>
  </si>
  <si>
    <t>3.地域別業績</t>
    <rPh sb="2" eb="5">
      <t>チイキベツ</t>
    </rPh>
    <rPh sb="5" eb="7">
      <t>ギョウセキ</t>
    </rPh>
    <phoneticPr fontId="2"/>
  </si>
  <si>
    <t>Sales and Operating Income by Region</t>
    <phoneticPr fontId="2"/>
  </si>
  <si>
    <t>日本 Japan</t>
    <rPh sb="0" eb="2">
      <t>ニホン</t>
    </rPh>
    <phoneticPr fontId="2"/>
  </si>
  <si>
    <t>北米 North America</t>
    <rPh sb="0" eb="2">
      <t>ホクベイ</t>
    </rPh>
    <phoneticPr fontId="2"/>
  </si>
  <si>
    <t>欧州 EMEA</t>
    <rPh sb="0" eb="2">
      <t>オウシュウ</t>
    </rPh>
    <phoneticPr fontId="2"/>
  </si>
  <si>
    <t>中華圏 Greater China</t>
    <rPh sb="0" eb="3">
      <t>チュウカケン</t>
    </rPh>
    <phoneticPr fontId="2"/>
  </si>
  <si>
    <t>オセアニア Oceania</t>
    <phoneticPr fontId="2"/>
  </si>
  <si>
    <t>東南アジア・南アジア Southeast and South Asia</t>
    <rPh sb="0" eb="2">
      <t>トウナン</t>
    </rPh>
    <rPh sb="6" eb="7">
      <t>ミナミ</t>
    </rPh>
    <phoneticPr fontId="2"/>
  </si>
  <si>
    <t>その他 Others</t>
    <rPh sb="2" eb="3">
      <t>タ</t>
    </rPh>
    <phoneticPr fontId="2"/>
  </si>
  <si>
    <t>4. 連結業績推移</t>
    <rPh sb="3" eb="5">
      <t>レンケツ</t>
    </rPh>
    <rPh sb="5" eb="7">
      <t>ギョウセキ</t>
    </rPh>
    <rPh sb="7" eb="9">
      <t>スイイ</t>
    </rPh>
    <phoneticPr fontId="3"/>
  </si>
  <si>
    <t>Consolidated Results History</t>
    <phoneticPr fontId="2"/>
  </si>
  <si>
    <t>*1</t>
    <phoneticPr fontId="2"/>
  </si>
  <si>
    <t>*2</t>
    <phoneticPr fontId="2"/>
  </si>
  <si>
    <t>FY2014
(Mar)</t>
    <phoneticPr fontId="2"/>
  </si>
  <si>
    <t>FY2014</t>
    <phoneticPr fontId="2"/>
  </si>
  <si>
    <t>FY2015</t>
  </si>
  <si>
    <t>FY2016</t>
  </si>
  <si>
    <t>FY2017</t>
  </si>
  <si>
    <t>FY2018</t>
  </si>
  <si>
    <t>FY2019</t>
  </si>
  <si>
    <t>FY2020</t>
  </si>
  <si>
    <t>FY2021</t>
  </si>
  <si>
    <t>FY2022</t>
  </si>
  <si>
    <t>FY2023</t>
  </si>
  <si>
    <t>5.カテゴリー別業績推移</t>
    <phoneticPr fontId="2"/>
  </si>
  <si>
    <t>Category Results History</t>
    <phoneticPr fontId="2"/>
  </si>
  <si>
    <t>*3</t>
    <phoneticPr fontId="2"/>
  </si>
  <si>
    <t>-</t>
  </si>
  <si>
    <t>Deficit</t>
    <phoneticPr fontId="3"/>
  </si>
  <si>
    <t>*1 2014年12月期は決算期変更の経過期間となることから株式会社アシックスおよび国内連結子会社は 2014年4月～12月の9ヶ月間、海外連結子会社は 2014年1月～12月の 12ヶ月間を連結対象期間としております。</t>
    <phoneticPr fontId="3"/>
  </si>
  <si>
    <t>*2 2019年12月期より「日本地域」、「北米地域」、「欧州地域」（中近東・アフリカを含む）、「中華圏地域」、「オセアニア地域」、「東南・南アジア地域」、「その他地域」として再編しました。</t>
    <phoneticPr fontId="3"/>
  </si>
  <si>
    <t>これに伴い、「米州地域」に含めておりました南米子会社などを「その他地域」に移管しました。なお、2018年12月期のセグメント情報については、変更後の区分方法により作成したものを記載しております。</t>
    <phoneticPr fontId="2"/>
  </si>
  <si>
    <t xml:space="preserve">*1 Because the fiscal year ending December 31, 2014 is a transitional period for the change in the fiscal year end, the domestic group companies cover nine months from April 1 to December 31, and overseas group companies cover twelve months from January 1 to December 31. </t>
    <phoneticPr fontId="2"/>
  </si>
  <si>
    <t>*2 The Group’s reportable segments were reclassified from FY2019 into “Japanese region,” “North American region,” “European region” (including the Middle East and Africa), “Greater China region,” “Oceanian region,” “Southeast and South Asian region,” and “Other regions.” In line with this change, subsidiaries in South America, which previously fell under the “American region,” have been transferred to “Other regions.” Segment information for FY2018 presented has been prepared based on the new classification.</t>
    <phoneticPr fontId="2"/>
  </si>
  <si>
    <t>6.地域別業績推移</t>
    <rPh sb="2" eb="4">
      <t>チイキ</t>
    </rPh>
    <phoneticPr fontId="2"/>
  </si>
  <si>
    <t>Region Results History</t>
    <phoneticPr fontId="2"/>
  </si>
  <si>
    <t>FY2013</t>
    <phoneticPr fontId="2"/>
  </si>
  <si>
    <t>日本 Japan</t>
    <phoneticPr fontId="2"/>
  </si>
  <si>
    <t>北米 North America</t>
    <phoneticPr fontId="2"/>
  </si>
  <si>
    <t>-</t>
    <phoneticPr fontId="3"/>
  </si>
  <si>
    <t>欧州 EMEA</t>
    <phoneticPr fontId="2"/>
  </si>
  <si>
    <t>中華圏 Greater China</t>
    <phoneticPr fontId="2"/>
  </si>
  <si>
    <t>東南アジア・南アジア Southeast and South Asia</t>
    <phoneticPr fontId="2"/>
  </si>
  <si>
    <t>その他 Others</t>
    <phoneticPr fontId="2"/>
  </si>
  <si>
    <t>*3 2018年12月期並びに2019年12月期はカテゴリ外コストを含む営業利益と営業利益率としております。</t>
    <phoneticPr fontId="2"/>
  </si>
  <si>
    <t>*3 Instead of category profit and category profit margin, operating income and operating income margin are listed for FY18 and FY19.</t>
    <phoneticPr fontId="2"/>
  </si>
  <si>
    <t>7.主な指標等</t>
    <rPh sb="2" eb="3">
      <t>オモ</t>
    </rPh>
    <rPh sb="4" eb="7">
      <t>シヒョウトウ</t>
    </rPh>
    <phoneticPr fontId="3"/>
  </si>
  <si>
    <t>Other Information</t>
  </si>
  <si>
    <t>単位：百万円
Unit:M JPY</t>
    <phoneticPr fontId="2"/>
  </si>
  <si>
    <t>FY2014
（Mar)</t>
    <phoneticPr fontId="2"/>
  </si>
  <si>
    <t>財務指標 Financial Index</t>
    <phoneticPr fontId="2"/>
  </si>
  <si>
    <t>ROA(総資産当期純利益率)
Return On Assets</t>
    <phoneticPr fontId="2"/>
  </si>
  <si>
    <t>その他の指標 Other Index</t>
    <phoneticPr fontId="2"/>
  </si>
  <si>
    <t>1株当たり当期純利益
Net Income Per Share</t>
    <phoneticPr fontId="2"/>
  </si>
  <si>
    <t>潜在株式調整後1株当たり当期純利益
Diluted Net Income per Share</t>
    <phoneticPr fontId="2"/>
  </si>
  <si>
    <t>1株当たり純資産
Net Assets per Share</t>
    <phoneticPr fontId="2"/>
  </si>
  <si>
    <t>ROE(自己資本当期純利益率)
Return On Equity</t>
    <phoneticPr fontId="2"/>
  </si>
  <si>
    <t>自己資本比率
Shareholders' Equity Ratio</t>
    <phoneticPr fontId="2"/>
  </si>
  <si>
    <t>株価収益率
Price-Earnings Ratio</t>
    <phoneticPr fontId="2"/>
  </si>
  <si>
    <t>23.9倍</t>
    <rPh sb="4" eb="5">
      <t>バイ</t>
    </rPh>
    <phoneticPr fontId="3"/>
  </si>
  <si>
    <t>24.7倍</t>
    <rPh sb="4" eb="5">
      <t>バイ</t>
    </rPh>
    <phoneticPr fontId="3"/>
  </si>
  <si>
    <t>46.8倍</t>
    <rPh sb="4" eb="5">
      <t>バイ</t>
    </rPh>
    <phoneticPr fontId="3"/>
  </si>
  <si>
    <t>28.5倍</t>
    <rPh sb="4" eb="5">
      <t>バイ</t>
    </rPh>
    <phoneticPr fontId="3"/>
  </si>
  <si>
    <t>26.3倍</t>
    <rPh sb="4" eb="5">
      <t>バイ</t>
    </rPh>
    <phoneticPr fontId="3"/>
  </si>
  <si>
    <t>47.9倍</t>
    <rPh sb="4" eb="5">
      <t>バイ</t>
    </rPh>
    <phoneticPr fontId="3"/>
  </si>
  <si>
    <t>49.6倍</t>
    <rPh sb="4" eb="5">
      <t>バイ</t>
    </rPh>
    <phoneticPr fontId="3"/>
  </si>
  <si>
    <t>26.8倍</t>
    <rPh sb="4" eb="5">
      <t>バイ</t>
    </rPh>
    <phoneticPr fontId="3"/>
  </si>
  <si>
    <t>22.9倍</t>
    <rPh sb="4" eb="5">
      <t>バイ</t>
    </rPh>
    <phoneticPr fontId="2"/>
  </si>
  <si>
    <t>配当の状況 Dividends</t>
    <phoneticPr fontId="2"/>
  </si>
  <si>
    <t>年間配当金
Cash Dividend Per Share（Annual）</t>
    <phoneticPr fontId="2"/>
  </si>
  <si>
    <t>配当金総額（合計）
Total Dividend Amount（Annual）</t>
    <phoneticPr fontId="2"/>
  </si>
  <si>
    <t>配当性向（連結）
Dividend Payout Ratio（Consolidated）</t>
    <phoneticPr fontId="2"/>
  </si>
  <si>
    <t>純資産配当率（連結）
Ratio of Dividends to Net Assets(Consolidated)</t>
    <phoneticPr fontId="2"/>
  </si>
  <si>
    <t>その他 Others</t>
    <rPh sb="2" eb="3">
      <t>タ</t>
    </rPh>
    <phoneticPr fontId="3"/>
  </si>
  <si>
    <t>連結子会社数
Consolidated Number of Subsidiaries and Affiliates</t>
    <phoneticPr fontId="2"/>
  </si>
  <si>
    <t>連結従業員数
Consolidaterd Number of Employees</t>
    <phoneticPr fontId="2"/>
  </si>
  <si>
    <t>連結売上高DTC比率
Consolidated DTC Sales Ratio</t>
    <phoneticPr fontId="2"/>
  </si>
  <si>
    <t>為替レート
FX Rate</t>
    <rPh sb="0" eb="2">
      <t>カワセ</t>
    </rPh>
    <phoneticPr fontId="2"/>
  </si>
  <si>
    <t>USD</t>
    <phoneticPr fontId="2"/>
  </si>
  <si>
    <t>EUR</t>
    <phoneticPr fontId="2"/>
  </si>
  <si>
    <t>RMB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</si>
</sst>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quot;△ &quot;#,##0"/>
    <numFmt numFmtId="177" formatCode="0.0%"/>
    <numFmt numFmtId="178" formatCode="#,##0.0&quot;%&quot;"/>
    <numFmt numFmtId="179" formatCode="#,##0_ "/>
    <numFmt numFmtId="180" formatCode="0.0"/>
    <numFmt numFmtId="181" formatCode="&quot;¥&quot;#,##0.00_);[Red]\(&quot;¥&quot;#,##0.00\)"/>
  </numFmts>
  <fonts count="9" x14ac:knownFonts="1">
    <font>
      <sz val="11"/>
      <color theme="1"/>
      <name val="游ゴシック"/>
      <family val="2"/>
      <scheme val="minor"/>
    </font>
    <font>
      <sz val="11"/>
      <color theme="1"/>
      <name val="游ゴシック"/>
      <family val="2"/>
      <scheme val="minor"/>
    </font>
    <font>
      <sz val="6"/>
      <name val="游ゴシック"/>
      <family val="3"/>
      <charset val="128"/>
      <scheme val="minor"/>
    </font>
    <font>
      <sz val="6"/>
      <name val="游ゴシック"/>
      <family val="2"/>
      <charset val="128"/>
      <scheme val="minor"/>
    </font>
    <font>
      <sz val="10"/>
      <color theme="1"/>
      <name val="BIZ UDPゴシック"/>
      <family val="3"/>
      <charset val="128"/>
    </font>
    <font>
      <sz val="11"/>
      <color theme="1"/>
      <name val="BIZ UDPゴシック"/>
      <family val="3"/>
      <charset val="128"/>
    </font>
    <font>
      <sz val="8"/>
      <color rgb="FF000062"/>
      <name val="BIZ UDPゴシック"/>
      <family val="3"/>
      <charset val="128"/>
    </font>
    <font>
      <sz val="8"/>
      <color theme="1"/>
      <name val="BIZ UDPゴシック"/>
      <family val="3"/>
      <charset val="128"/>
    </font>
    <font>
      <sz val="11"/>
      <color rgb="FF000062"/>
      <name val="BIZ UDPゴシック"/>
      <family val="3"/>
      <charset val="128"/>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7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medium">
        <color theme="0" tint="-0.499984740745262"/>
      </right>
      <top style="thin">
        <color theme="0" tint="-0.499984740745262"/>
      </top>
      <bottom/>
      <diagonal/>
    </border>
    <border>
      <left style="medium">
        <color theme="0" tint="-0.499984740745262"/>
      </left>
      <right style="thin">
        <color theme="0" tint="-0.499984740745262"/>
      </right>
      <top/>
      <bottom style="thin">
        <color theme="0" tint="-0.499984740745262"/>
      </bottom>
      <diagonal/>
    </border>
    <border>
      <left style="thin">
        <color theme="0" tint="-0.499984740745262"/>
      </left>
      <right style="medium">
        <color theme="0" tint="-0.499984740745262"/>
      </right>
      <top/>
      <bottom style="thin">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medium">
        <color theme="0" tint="-0.499984740745262"/>
      </left>
      <right/>
      <top style="medium">
        <color theme="0" tint="-0.499984740745262"/>
      </top>
      <bottom/>
      <diagonal/>
    </border>
    <border>
      <left style="medium">
        <color theme="0" tint="-0.499984740745262"/>
      </left>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top style="medium">
        <color theme="0" tint="-0.499984740745262"/>
      </top>
      <bottom style="thin">
        <color theme="0" tint="-0.499984740745262"/>
      </bottom>
      <diagonal/>
    </border>
    <border>
      <left style="medium">
        <color theme="0" tint="-0.499984740745262"/>
      </left>
      <right/>
      <top style="medium">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style="medium">
        <color theme="0" tint="-0.499984740745262"/>
      </left>
      <right/>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style="thin">
        <color rgb="FF808080"/>
      </right>
      <top/>
      <bottom style="thin">
        <color rgb="FF808080"/>
      </bottom>
      <diagonal/>
    </border>
    <border>
      <left style="thin">
        <color rgb="FF808080"/>
      </left>
      <right style="medium">
        <color theme="0" tint="-0.499984740745262"/>
      </right>
      <top/>
      <bottom style="thin">
        <color rgb="FF808080"/>
      </bottom>
      <diagonal/>
    </border>
    <border>
      <left style="medium">
        <color theme="0" tint="-0.499984740745262"/>
      </left>
      <right style="thin">
        <color rgb="FF808080"/>
      </right>
      <top style="thin">
        <color rgb="FF808080"/>
      </top>
      <bottom style="thin">
        <color rgb="FF808080"/>
      </bottom>
      <diagonal/>
    </border>
    <border>
      <left style="thin">
        <color rgb="FF808080"/>
      </left>
      <right style="medium">
        <color theme="0" tint="-0.499984740745262"/>
      </right>
      <top style="thin">
        <color rgb="FF808080"/>
      </top>
      <bottom style="thin">
        <color rgb="FF808080"/>
      </bottom>
      <diagonal/>
    </border>
    <border>
      <left style="medium">
        <color theme="0" tint="-0.499984740745262"/>
      </left>
      <right style="thin">
        <color rgb="FF808080"/>
      </right>
      <top style="thin">
        <color rgb="FF808080"/>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rgb="FF808080"/>
      </left>
      <right style="medium">
        <color theme="0" tint="-0.499984740745262"/>
      </right>
      <top style="thin">
        <color rgb="FF808080"/>
      </top>
      <bottom style="medium">
        <color theme="0" tint="-0.499984740745262"/>
      </bottom>
      <diagonal/>
    </border>
    <border>
      <left/>
      <right style="thin">
        <color rgb="FF808080"/>
      </right>
      <top/>
      <bottom style="thin">
        <color rgb="FF808080"/>
      </bottom>
      <diagonal/>
    </border>
    <border>
      <left/>
      <right style="thin">
        <color rgb="FF808080"/>
      </right>
      <top style="thin">
        <color rgb="FF808080"/>
      </top>
      <bottom style="thin">
        <color rgb="FF808080"/>
      </bottom>
      <diagonal/>
    </border>
    <border>
      <left/>
      <right style="thin">
        <color rgb="FF808080"/>
      </right>
      <top style="thin">
        <color rgb="FF808080"/>
      </top>
      <bottom/>
      <diagonal/>
    </border>
    <border>
      <left style="medium">
        <color rgb="FF808080"/>
      </left>
      <right style="thin">
        <color rgb="FF808080"/>
      </right>
      <top/>
      <bottom style="thin">
        <color rgb="FF808080"/>
      </bottom>
      <diagonal/>
    </border>
    <border>
      <left style="medium">
        <color rgb="FF808080"/>
      </left>
      <right style="thin">
        <color rgb="FF808080"/>
      </right>
      <top style="thin">
        <color rgb="FF808080"/>
      </top>
      <bottom style="thin">
        <color rgb="FF808080"/>
      </bottom>
      <diagonal/>
    </border>
    <border>
      <left/>
      <right/>
      <top/>
      <bottom style="thin">
        <color rgb="FF808080"/>
      </bottom>
      <diagonal/>
    </border>
    <border>
      <left/>
      <right/>
      <top style="thin">
        <color rgb="FF808080"/>
      </top>
      <bottom style="thin">
        <color rgb="FF808080"/>
      </bottom>
      <diagonal/>
    </border>
    <border>
      <left/>
      <right style="thin">
        <color rgb="FF808080"/>
      </right>
      <top style="thin">
        <color rgb="FF808080"/>
      </top>
      <bottom style="medium">
        <color theme="0" tint="-0.499984740745262"/>
      </bottom>
      <diagonal/>
    </border>
    <border>
      <left style="thin">
        <color theme="0" tint="-0.499984740745262"/>
      </left>
      <right style="medium">
        <color rgb="FF808080"/>
      </right>
      <top style="thin">
        <color theme="0" tint="-0.499984740745262"/>
      </top>
      <bottom style="thin">
        <color theme="0" tint="-0.499984740745262"/>
      </bottom>
      <diagonal/>
    </border>
    <border>
      <left style="thin">
        <color theme="0" tint="-0.499984740745262"/>
      </left>
      <right style="medium">
        <color rgb="FF808080"/>
      </right>
      <top style="thin">
        <color theme="0" tint="-0.499984740745262"/>
      </top>
      <bottom style="medium">
        <color rgb="FF808080"/>
      </bottom>
      <diagonal/>
    </border>
    <border>
      <left style="thin">
        <color theme="0" tint="-0.499984740745262"/>
      </left>
      <right style="medium">
        <color rgb="FF808080"/>
      </right>
      <top style="thin">
        <color theme="0" tint="-0.499984740745262"/>
      </top>
      <bottom/>
      <diagonal/>
    </border>
    <border>
      <left style="medium">
        <color theme="0" tint="-0.499984740745262"/>
      </left>
      <right style="thin">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bottom style="thin">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medium">
        <color theme="0" tint="-0.499984740745262"/>
      </right>
      <top style="medium">
        <color theme="0" tint="-0.499984740745262"/>
      </top>
      <bottom/>
      <diagonal/>
    </border>
    <border>
      <left style="medium">
        <color rgb="FF808080"/>
      </left>
      <right style="thin">
        <color rgb="FF808080"/>
      </right>
      <top style="thin">
        <color rgb="FF808080"/>
      </top>
      <bottom/>
      <diagonal/>
    </border>
    <border>
      <left/>
      <right/>
      <top style="thin">
        <color rgb="FF808080"/>
      </top>
      <bottom/>
      <diagonal/>
    </border>
    <border>
      <left style="thin">
        <color theme="0" tint="-0.499984740745262"/>
      </left>
      <right style="medium">
        <color rgb="FF808080"/>
      </right>
      <top style="medium">
        <color theme="0" tint="-0.499984740745262"/>
      </top>
      <bottom style="thin">
        <color theme="0" tint="-0.499984740745262"/>
      </bottom>
      <diagonal/>
    </border>
    <border>
      <left/>
      <right style="thin">
        <color theme="0" tint="-0.499984740745262"/>
      </right>
      <top style="medium">
        <color theme="0" tint="-0.499984740745262"/>
      </top>
      <bottom/>
      <diagonal/>
    </border>
    <border>
      <left style="medium">
        <color theme="0" tint="-0.499984740745262"/>
      </left>
      <right style="medium">
        <color theme="0" tint="-0.499984740745262"/>
      </right>
      <top style="thin">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theme="0" tint="-0.499984740745262"/>
      </right>
      <top/>
      <bottom style="medium">
        <color theme="0" tint="-0.499984740745262"/>
      </bottom>
      <diagonal/>
    </border>
  </borders>
  <cellStyleXfs count="3">
    <xf numFmtId="0" fontId="0" fillId="0" borderId="0"/>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264">
    <xf numFmtId="0" fontId="0" fillId="0" borderId="0" xfId="0"/>
    <xf numFmtId="0" fontId="4" fillId="0" borderId="0" xfId="0" applyFont="1"/>
    <xf numFmtId="0" fontId="0" fillId="0" borderId="0" xfId="0" applyAlignment="1">
      <alignment vertical="center"/>
    </xf>
    <xf numFmtId="0" fontId="5" fillId="0" borderId="0" xfId="0" applyFont="1"/>
    <xf numFmtId="0" fontId="5" fillId="0" borderId="0" xfId="0" applyFont="1" applyAlignment="1">
      <alignment vertical="center"/>
    </xf>
    <xf numFmtId="0" fontId="5" fillId="0" borderId="0" xfId="0" applyFont="1" applyAlignment="1">
      <alignment horizontal="left"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13" xfId="0" applyFont="1" applyFill="1" applyBorder="1" applyAlignment="1">
      <alignment horizontal="center" vertical="center"/>
    </xf>
    <xf numFmtId="0" fontId="5" fillId="0" borderId="31" xfId="0" applyFont="1" applyBorder="1" applyAlignment="1">
      <alignment horizontal="left" vertical="center" wrapText="1"/>
    </xf>
    <xf numFmtId="3" fontId="5" fillId="0" borderId="4" xfId="1" applyNumberFormat="1" applyFont="1" applyBorder="1" applyAlignment="1">
      <alignment horizontal="right" vertical="center"/>
    </xf>
    <xf numFmtId="3" fontId="5" fillId="0" borderId="5" xfId="1" applyNumberFormat="1" applyFont="1" applyBorder="1" applyAlignment="1">
      <alignment horizontal="right" vertical="center"/>
    </xf>
    <xf numFmtId="38" fontId="5" fillId="0" borderId="5" xfId="1" applyFont="1" applyBorder="1" applyAlignment="1">
      <alignment horizontal="right" vertical="center"/>
    </xf>
    <xf numFmtId="3" fontId="5" fillId="0" borderId="5" xfId="0" applyNumberFormat="1" applyFont="1" applyBorder="1" applyAlignment="1">
      <alignment horizontal="right" vertical="center"/>
    </xf>
    <xf numFmtId="0" fontId="5" fillId="0" borderId="32" xfId="0" applyFont="1" applyBorder="1" applyAlignment="1">
      <alignment horizontal="left" vertical="center" wrapText="1"/>
    </xf>
    <xf numFmtId="3" fontId="5" fillId="0" borderId="2" xfId="1" applyNumberFormat="1" applyFont="1" applyBorder="1" applyAlignment="1">
      <alignment horizontal="right" vertical="center"/>
    </xf>
    <xf numFmtId="38" fontId="5" fillId="0" borderId="1" xfId="1" applyFont="1" applyBorder="1" applyAlignment="1">
      <alignment horizontal="right" vertical="center"/>
    </xf>
    <xf numFmtId="3" fontId="5" fillId="0" borderId="1" xfId="0" applyNumberFormat="1" applyFont="1" applyBorder="1" applyAlignment="1">
      <alignment horizontal="right" vertical="center"/>
    </xf>
    <xf numFmtId="177" fontId="5" fillId="0" borderId="2" xfId="2" applyNumberFormat="1" applyFont="1" applyBorder="1" applyAlignment="1">
      <alignment horizontal="right" vertical="center"/>
    </xf>
    <xf numFmtId="177" fontId="5" fillId="0" borderId="1" xfId="2" applyNumberFormat="1" applyFont="1" applyBorder="1" applyAlignment="1">
      <alignment horizontal="right" vertical="center"/>
    </xf>
    <xf numFmtId="177" fontId="5" fillId="0" borderId="1" xfId="2" applyNumberFormat="1" applyFont="1" applyFill="1" applyBorder="1" applyAlignment="1">
      <alignment horizontal="right" vertical="center"/>
    </xf>
    <xf numFmtId="0" fontId="5" fillId="0" borderId="30" xfId="0" applyFont="1" applyBorder="1" applyAlignment="1">
      <alignment horizontal="left" vertical="center" wrapText="1"/>
    </xf>
    <xf numFmtId="3" fontId="5" fillId="0" borderId="23" xfId="1" applyNumberFormat="1" applyFont="1" applyBorder="1" applyAlignment="1">
      <alignment horizontal="right" vertical="center"/>
    </xf>
    <xf numFmtId="3" fontId="5" fillId="0" borderId="39" xfId="1" applyNumberFormat="1" applyFont="1" applyBorder="1" applyAlignment="1">
      <alignment horizontal="right" vertical="center"/>
    </xf>
    <xf numFmtId="38" fontId="5" fillId="0" borderId="12" xfId="1" applyFont="1" applyBorder="1" applyAlignment="1">
      <alignment horizontal="right" vertical="center"/>
    </xf>
    <xf numFmtId="3" fontId="5" fillId="0" borderId="12" xfId="0" applyNumberFormat="1" applyFont="1" applyBorder="1" applyAlignment="1">
      <alignment horizontal="right" vertical="center"/>
    </xf>
    <xf numFmtId="0" fontId="5" fillId="0" borderId="17" xfId="0" applyFont="1" applyBorder="1" applyAlignment="1">
      <alignment horizontal="left" vertical="center" wrapText="1"/>
    </xf>
    <xf numFmtId="3" fontId="5" fillId="0" borderId="18" xfId="1" applyNumberFormat="1" applyFont="1" applyBorder="1" applyAlignment="1">
      <alignment horizontal="right" vertical="center"/>
    </xf>
    <xf numFmtId="3" fontId="5" fillId="0" borderId="7" xfId="0" applyNumberFormat="1" applyFont="1" applyBorder="1" applyAlignment="1">
      <alignment horizontal="right" vertical="center"/>
    </xf>
    <xf numFmtId="0" fontId="5" fillId="0" borderId="9" xfId="0" applyFont="1" applyBorder="1" applyAlignment="1">
      <alignment horizontal="left" vertical="center" wrapText="1"/>
    </xf>
    <xf numFmtId="3" fontId="5" fillId="0" borderId="10" xfId="1" applyNumberFormat="1" applyFont="1" applyBorder="1" applyAlignment="1">
      <alignment horizontal="right" vertical="center"/>
    </xf>
    <xf numFmtId="0" fontId="5" fillId="0" borderId="14" xfId="0" applyFont="1" applyBorder="1" applyAlignment="1">
      <alignment horizontal="left" vertical="center" wrapText="1"/>
    </xf>
    <xf numFmtId="177" fontId="5" fillId="0" borderId="15" xfId="2" applyNumberFormat="1" applyFont="1" applyBorder="1" applyAlignment="1">
      <alignment horizontal="right" vertical="center"/>
    </xf>
    <xf numFmtId="177" fontId="5" fillId="0" borderId="16" xfId="2" applyNumberFormat="1" applyFont="1" applyBorder="1" applyAlignment="1">
      <alignment horizontal="right" vertical="center"/>
    </xf>
    <xf numFmtId="177" fontId="5" fillId="0" borderId="12" xfId="2" applyNumberFormat="1" applyFont="1" applyFill="1" applyBorder="1" applyAlignment="1">
      <alignment horizontal="right" vertical="center"/>
    </xf>
    <xf numFmtId="0" fontId="5" fillId="0" borderId="59" xfId="0" applyFont="1" applyBorder="1" applyAlignment="1">
      <alignment horizontal="left" vertical="center" wrapText="1"/>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177" fontId="5" fillId="0" borderId="15" xfId="2" applyNumberFormat="1" applyFont="1" applyFill="1" applyBorder="1" applyAlignment="1">
      <alignment horizontal="right" vertical="center"/>
    </xf>
    <xf numFmtId="177" fontId="5" fillId="0" borderId="12" xfId="2" applyNumberFormat="1" applyFont="1" applyBorder="1" applyAlignment="1">
      <alignment horizontal="right" vertical="center"/>
    </xf>
    <xf numFmtId="177" fontId="5" fillId="0" borderId="13" xfId="2" applyNumberFormat="1" applyFont="1" applyBorder="1" applyAlignment="1">
      <alignment horizontal="right" vertical="center"/>
    </xf>
    <xf numFmtId="0" fontId="5" fillId="0" borderId="59" xfId="0" applyFont="1" applyBorder="1" applyAlignment="1">
      <alignment horizontal="right" vertical="center" wrapText="1"/>
    </xf>
    <xf numFmtId="38" fontId="5" fillId="0" borderId="5" xfId="1" applyFont="1" applyFill="1" applyBorder="1" applyAlignment="1">
      <alignment horizontal="right" vertical="center"/>
    </xf>
    <xf numFmtId="38" fontId="5" fillId="0" borderId="5" xfId="0" applyNumberFormat="1" applyFont="1" applyBorder="1" applyAlignment="1">
      <alignment horizontal="right" vertical="center"/>
    </xf>
    <xf numFmtId="38" fontId="5" fillId="0" borderId="18" xfId="1" applyFont="1" applyFill="1" applyBorder="1" applyAlignment="1">
      <alignment horizontal="right" vertical="center"/>
    </xf>
    <xf numFmtId="0" fontId="5" fillId="0" borderId="55" xfId="0" applyFont="1" applyBorder="1" applyAlignment="1">
      <alignment horizontal="right" vertical="center" wrapText="1"/>
    </xf>
    <xf numFmtId="38" fontId="5" fillId="0" borderId="1" xfId="1" applyFont="1" applyFill="1" applyBorder="1" applyAlignment="1">
      <alignment horizontal="right" vertical="center"/>
    </xf>
    <xf numFmtId="38" fontId="5" fillId="0" borderId="1" xfId="0" applyNumberFormat="1" applyFont="1" applyBorder="1" applyAlignment="1">
      <alignment horizontal="right" vertical="center"/>
    </xf>
    <xf numFmtId="38" fontId="5" fillId="0" borderId="10" xfId="1" applyFont="1" applyFill="1" applyBorder="1" applyAlignment="1">
      <alignment horizontal="right" vertical="center"/>
    </xf>
    <xf numFmtId="0" fontId="5" fillId="0" borderId="56" xfId="0" applyFont="1" applyBorder="1" applyAlignment="1">
      <alignment horizontal="right" vertical="center" wrapText="1"/>
    </xf>
    <xf numFmtId="177" fontId="5" fillId="0" borderId="16" xfId="2" applyNumberFormat="1" applyFont="1" applyFill="1" applyBorder="1" applyAlignment="1">
      <alignment horizontal="right" vertical="center"/>
    </xf>
    <xf numFmtId="0" fontId="5" fillId="0" borderId="53" xfId="0" applyFont="1" applyBorder="1" applyAlignment="1">
      <alignment horizontal="right" vertical="center" wrapText="1"/>
    </xf>
    <xf numFmtId="38" fontId="5" fillId="0" borderId="7" xfId="1" applyFont="1" applyFill="1" applyBorder="1" applyAlignment="1">
      <alignment horizontal="right" vertical="center"/>
    </xf>
    <xf numFmtId="38" fontId="5" fillId="0" borderId="7" xfId="0" applyNumberFormat="1" applyFont="1" applyBorder="1" applyAlignment="1">
      <alignment horizontal="right" vertical="center"/>
    </xf>
    <xf numFmtId="38" fontId="5" fillId="0" borderId="8" xfId="1" applyFont="1" applyFill="1" applyBorder="1" applyAlignment="1">
      <alignment horizontal="right" vertical="center"/>
    </xf>
    <xf numFmtId="177" fontId="5" fillId="0" borderId="13" xfId="2" applyNumberFormat="1" applyFont="1" applyFill="1" applyBorder="1" applyAlignment="1">
      <alignment horizontal="right" vertical="center"/>
    </xf>
    <xf numFmtId="49" fontId="8" fillId="0" borderId="0" xfId="0" applyNumberFormat="1" applyFont="1" applyAlignment="1">
      <alignment vertical="center"/>
    </xf>
    <xf numFmtId="49" fontId="8" fillId="0" borderId="0" xfId="0" applyNumberFormat="1" applyFont="1" applyAlignment="1">
      <alignment horizontal="left" vertical="center"/>
    </xf>
    <xf numFmtId="49" fontId="8" fillId="0" borderId="0" xfId="0" applyNumberFormat="1" applyFont="1" applyAlignment="1">
      <alignment horizontal="right" vertical="center"/>
    </xf>
    <xf numFmtId="0" fontId="5" fillId="2" borderId="53"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0" borderId="54" xfId="0" applyFont="1" applyBorder="1" applyAlignment="1">
      <alignment horizontal="left" vertical="center" wrapText="1"/>
    </xf>
    <xf numFmtId="176" fontId="8" fillId="0" borderId="4" xfId="0" applyNumberFormat="1" applyFont="1" applyBorder="1" applyAlignment="1">
      <alignment vertical="center"/>
    </xf>
    <xf numFmtId="176" fontId="8" fillId="0" borderId="5" xfId="0" applyNumberFormat="1" applyFont="1" applyBorder="1" applyAlignment="1">
      <alignment vertical="center"/>
    </xf>
    <xf numFmtId="177" fontId="5" fillId="0" borderId="13" xfId="0" applyNumberFormat="1" applyFont="1" applyBorder="1" applyAlignment="1">
      <alignment horizontal="right" vertical="center"/>
    </xf>
    <xf numFmtId="38" fontId="5" fillId="0" borderId="8" xfId="0" applyNumberFormat="1" applyFont="1" applyBorder="1" applyAlignment="1">
      <alignment vertical="center"/>
    </xf>
    <xf numFmtId="38" fontId="5" fillId="0" borderId="10" xfId="0" applyNumberFormat="1" applyFont="1" applyBorder="1" applyAlignment="1">
      <alignment vertical="center"/>
    </xf>
    <xf numFmtId="177" fontId="5" fillId="0" borderId="13" xfId="2" applyNumberFormat="1" applyFont="1" applyFill="1" applyBorder="1" applyAlignment="1">
      <alignment vertical="center"/>
    </xf>
    <xf numFmtId="0" fontId="5" fillId="0" borderId="53" xfId="0" applyFont="1" applyBorder="1" applyAlignment="1">
      <alignment horizontal="left" vertical="center" wrapText="1"/>
    </xf>
    <xf numFmtId="0" fontId="5" fillId="0" borderId="29" xfId="0" applyFont="1" applyBorder="1" applyAlignment="1">
      <alignment horizontal="left" vertical="center" wrapText="1"/>
    </xf>
    <xf numFmtId="0" fontId="5" fillId="2" borderId="53" xfId="0" applyFont="1" applyFill="1" applyBorder="1" applyAlignment="1">
      <alignment vertical="center" wrapText="1"/>
    </xf>
    <xf numFmtId="0" fontId="5" fillId="2" borderId="67" xfId="0" applyFont="1" applyFill="1" applyBorder="1" applyAlignment="1">
      <alignment horizontal="center" vertical="center" wrapText="1"/>
    </xf>
    <xf numFmtId="0" fontId="5" fillId="2" borderId="62" xfId="0" applyFont="1" applyFill="1" applyBorder="1" applyAlignment="1">
      <alignment horizontal="center" vertical="center" wrapText="1"/>
    </xf>
    <xf numFmtId="0" fontId="5" fillId="2" borderId="63" xfId="0" applyFont="1" applyFill="1" applyBorder="1" applyAlignment="1">
      <alignment horizontal="center" vertical="center" wrapText="1"/>
    </xf>
    <xf numFmtId="0" fontId="5" fillId="0" borderId="59" xfId="0" applyFont="1" applyBorder="1" applyAlignment="1">
      <alignment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0" fontId="5" fillId="0" borderId="53" xfId="0" applyFont="1" applyBorder="1" applyAlignment="1">
      <alignment vertical="center" wrapText="1"/>
    </xf>
    <xf numFmtId="49" fontId="8" fillId="0" borderId="0" xfId="0" applyNumberFormat="1" applyFont="1" applyAlignment="1">
      <alignment vertical="center" wrapText="1"/>
    </xf>
    <xf numFmtId="0" fontId="8" fillId="0" borderId="0" xfId="0" applyFont="1" applyAlignment="1">
      <alignment vertical="center"/>
    </xf>
    <xf numFmtId="0" fontId="8" fillId="2" borderId="53" xfId="0" applyFont="1" applyFill="1" applyBorder="1" applyAlignment="1">
      <alignment vertical="center" wrapText="1"/>
    </xf>
    <xf numFmtId="0" fontId="5" fillId="0" borderId="54" xfId="0" applyFont="1" applyBorder="1" applyAlignment="1">
      <alignment vertical="center" wrapText="1"/>
    </xf>
    <xf numFmtId="0" fontId="5" fillId="0" borderId="59" xfId="0" applyFont="1" applyBorder="1" applyAlignment="1">
      <alignment horizontal="center" vertical="center"/>
    </xf>
    <xf numFmtId="181" fontId="5" fillId="0" borderId="18" xfId="0" applyNumberFormat="1" applyFont="1" applyBorder="1" applyAlignment="1">
      <alignment horizontal="right" vertical="center"/>
    </xf>
    <xf numFmtId="0" fontId="5" fillId="0" borderId="55" xfId="0" applyFont="1" applyBorder="1" applyAlignment="1">
      <alignment horizontal="center" vertical="center"/>
    </xf>
    <xf numFmtId="181" fontId="5" fillId="0" borderId="10" xfId="0" applyNumberFormat="1" applyFont="1" applyBorder="1" applyAlignment="1">
      <alignment horizontal="right" vertical="center"/>
    </xf>
    <xf numFmtId="0" fontId="5" fillId="0" borderId="56" xfId="0" applyFont="1" applyBorder="1" applyAlignment="1">
      <alignment horizontal="center" vertical="center"/>
    </xf>
    <xf numFmtId="181" fontId="5" fillId="0" borderId="13" xfId="0" applyNumberFormat="1" applyFont="1" applyBorder="1" applyAlignment="1">
      <alignment horizontal="right" vertical="center"/>
    </xf>
    <xf numFmtId="3" fontId="5" fillId="0" borderId="44" xfId="0" applyNumberFormat="1" applyFont="1" applyBorder="1" applyAlignment="1">
      <alignment horizontal="right" vertical="center"/>
    </xf>
    <xf numFmtId="3" fontId="5" fillId="0" borderId="5" xfId="1" applyNumberFormat="1" applyFont="1" applyFill="1" applyBorder="1" applyAlignment="1">
      <alignment horizontal="right" vertical="center"/>
    </xf>
    <xf numFmtId="3" fontId="5" fillId="0" borderId="41" xfId="0" applyNumberFormat="1" applyFont="1" applyBorder="1" applyAlignment="1">
      <alignment horizontal="right" vertical="center"/>
    </xf>
    <xf numFmtId="38" fontId="5" fillId="0" borderId="5" xfId="1" applyFont="1" applyFill="1" applyBorder="1" applyAlignment="1">
      <alignment vertical="center"/>
    </xf>
    <xf numFmtId="38" fontId="5" fillId="0" borderId="6" xfId="1" applyFont="1" applyFill="1" applyBorder="1" applyAlignment="1">
      <alignment vertical="center"/>
    </xf>
    <xf numFmtId="3" fontId="5" fillId="0" borderId="7" xfId="1" applyNumberFormat="1" applyFont="1" applyFill="1" applyBorder="1" applyAlignment="1">
      <alignment horizontal="right" vertical="center"/>
    </xf>
    <xf numFmtId="38" fontId="5" fillId="0" borderId="7" xfId="1" applyFont="1" applyFill="1" applyBorder="1" applyAlignment="1">
      <alignment vertical="center"/>
    </xf>
    <xf numFmtId="3" fontId="5" fillId="0" borderId="8" xfId="0" applyNumberFormat="1" applyFont="1" applyBorder="1" applyAlignment="1">
      <alignment horizontal="right" vertical="center"/>
    </xf>
    <xf numFmtId="3" fontId="5" fillId="0" borderId="45" xfId="0" applyNumberFormat="1" applyFont="1" applyBorder="1" applyAlignment="1">
      <alignment horizontal="right" vertical="center"/>
    </xf>
    <xf numFmtId="3" fontId="5" fillId="0" borderId="42" xfId="0" applyNumberFormat="1" applyFont="1" applyBorder="1" applyAlignment="1">
      <alignment horizontal="right" vertical="center"/>
    </xf>
    <xf numFmtId="38" fontId="5" fillId="0" borderId="1" xfId="1" applyFont="1" applyFill="1" applyBorder="1" applyAlignment="1">
      <alignment vertical="center"/>
    </xf>
    <xf numFmtId="37" fontId="5" fillId="0" borderId="9" xfId="1" applyNumberFormat="1" applyFont="1" applyFill="1" applyBorder="1" applyAlignment="1">
      <alignment vertical="center"/>
    </xf>
    <xf numFmtId="3" fontId="5" fillId="0" borderId="1" xfId="1" applyNumberFormat="1" applyFont="1" applyFill="1" applyBorder="1" applyAlignment="1">
      <alignment horizontal="right" vertical="center"/>
    </xf>
    <xf numFmtId="3" fontId="5" fillId="0" borderId="1" xfId="1" applyNumberFormat="1" applyFont="1" applyFill="1" applyBorder="1" applyAlignment="1">
      <alignment vertical="center"/>
    </xf>
    <xf numFmtId="37" fontId="5" fillId="0" borderId="1" xfId="1" applyNumberFormat="1" applyFont="1" applyFill="1" applyBorder="1" applyAlignment="1">
      <alignment horizontal="right" vertical="center"/>
    </xf>
    <xf numFmtId="3" fontId="5" fillId="0" borderId="10" xfId="0" applyNumberFormat="1" applyFont="1" applyBorder="1" applyAlignment="1">
      <alignment horizontal="right" vertical="center"/>
    </xf>
    <xf numFmtId="177" fontId="5" fillId="0" borderId="64" xfId="0" applyNumberFormat="1" applyFont="1" applyBorder="1" applyAlignment="1">
      <alignment horizontal="right" vertical="center"/>
    </xf>
    <xf numFmtId="177" fontId="5" fillId="0" borderId="43" xfId="0" applyNumberFormat="1" applyFont="1" applyBorder="1" applyAlignment="1">
      <alignment horizontal="right" vertical="center"/>
    </xf>
    <xf numFmtId="177" fontId="5" fillId="0" borderId="15" xfId="2" applyNumberFormat="1" applyFont="1" applyFill="1" applyBorder="1" applyAlignment="1">
      <alignment vertical="center"/>
    </xf>
    <xf numFmtId="177" fontId="5" fillId="0" borderId="11" xfId="2" applyNumberFormat="1" applyFont="1" applyFill="1" applyBorder="1" applyAlignment="1">
      <alignment vertical="center"/>
    </xf>
    <xf numFmtId="177" fontId="5" fillId="0" borderId="12" xfId="2" applyNumberFormat="1" applyFont="1" applyFill="1" applyBorder="1" applyAlignment="1">
      <alignment vertical="center"/>
    </xf>
    <xf numFmtId="38" fontId="5" fillId="0" borderId="6" xfId="0" applyNumberFormat="1" applyFont="1" applyBorder="1" applyAlignment="1">
      <alignment vertical="center"/>
    </xf>
    <xf numFmtId="3" fontId="5" fillId="0" borderId="66" xfId="0" applyNumberFormat="1" applyFont="1" applyBorder="1" applyAlignment="1">
      <alignment horizontal="right" vertical="center"/>
    </xf>
    <xf numFmtId="3" fontId="5" fillId="0" borderId="9" xfId="0" applyNumberFormat="1" applyFont="1" applyBorder="1" applyAlignment="1">
      <alignment vertical="center"/>
    </xf>
    <xf numFmtId="37" fontId="5" fillId="0" borderId="1" xfId="1" applyNumberFormat="1" applyFont="1" applyFill="1" applyBorder="1" applyAlignment="1">
      <alignment vertical="center"/>
    </xf>
    <xf numFmtId="3" fontId="5" fillId="0" borderId="49" xfId="0" applyNumberFormat="1" applyFont="1" applyBorder="1" applyAlignment="1">
      <alignment horizontal="right" vertical="center"/>
    </xf>
    <xf numFmtId="177" fontId="5" fillId="0" borderId="14" xfId="2" applyNumberFormat="1" applyFont="1" applyFill="1" applyBorder="1" applyAlignment="1">
      <alignment vertical="center"/>
    </xf>
    <xf numFmtId="177" fontId="5" fillId="0" borderId="51" xfId="0" applyNumberFormat="1" applyFont="1" applyBorder="1" applyAlignment="1">
      <alignment horizontal="right" vertical="center"/>
    </xf>
    <xf numFmtId="3" fontId="5" fillId="0" borderId="46" xfId="0" applyNumberFormat="1" applyFont="1" applyBorder="1" applyAlignment="1">
      <alignment horizontal="right" vertical="center"/>
    </xf>
    <xf numFmtId="3" fontId="5" fillId="0" borderId="47" xfId="0" applyNumberFormat="1" applyFont="1" applyBorder="1" applyAlignment="1">
      <alignment horizontal="right" vertical="center"/>
    </xf>
    <xf numFmtId="177" fontId="5" fillId="0" borderId="65" xfId="0" applyNumberFormat="1" applyFont="1" applyBorder="1" applyAlignment="1">
      <alignment horizontal="right" vertical="center"/>
    </xf>
    <xf numFmtId="177" fontId="5" fillId="0" borderId="48" xfId="0" applyNumberFormat="1" applyFont="1" applyBorder="1" applyAlignment="1">
      <alignment horizontal="right" vertical="center"/>
    </xf>
    <xf numFmtId="177" fontId="5" fillId="0" borderId="50" xfId="0" applyNumberFormat="1" applyFont="1" applyBorder="1" applyAlignment="1">
      <alignment horizontal="right" vertical="center"/>
    </xf>
    <xf numFmtId="3" fontId="5" fillId="0" borderId="34" xfId="1" applyNumberFormat="1" applyFont="1" applyBorder="1" applyAlignment="1">
      <alignment horizontal="right" vertical="center"/>
    </xf>
    <xf numFmtId="3" fontId="5" fillId="0" borderId="35" xfId="1" applyNumberFormat="1" applyFont="1" applyBorder="1" applyAlignment="1">
      <alignment horizontal="right" vertical="center"/>
    </xf>
    <xf numFmtId="38" fontId="5" fillId="0" borderId="17" xfId="1" applyFont="1" applyFill="1" applyBorder="1" applyAlignment="1">
      <alignment horizontal="right" vertical="center"/>
    </xf>
    <xf numFmtId="3" fontId="5" fillId="0" borderId="18" xfId="0" applyNumberFormat="1" applyFont="1" applyBorder="1" applyAlignment="1">
      <alignment horizontal="right" vertical="center"/>
    </xf>
    <xf numFmtId="3" fontId="5" fillId="0" borderId="36" xfId="1" applyNumberFormat="1" applyFont="1" applyBorder="1" applyAlignment="1">
      <alignment horizontal="right" vertical="center"/>
    </xf>
    <xf numFmtId="3" fontId="5" fillId="0" borderId="37" xfId="1" applyNumberFormat="1" applyFont="1" applyBorder="1" applyAlignment="1">
      <alignment horizontal="right" vertical="center"/>
    </xf>
    <xf numFmtId="37" fontId="5" fillId="0" borderId="9" xfId="1" applyNumberFormat="1" applyFont="1" applyFill="1" applyBorder="1" applyAlignment="1">
      <alignment horizontal="right" vertical="center"/>
    </xf>
    <xf numFmtId="177" fontId="5" fillId="0" borderId="36" xfId="0" applyNumberFormat="1" applyFont="1" applyBorder="1" applyAlignment="1">
      <alignment horizontal="right" vertical="center"/>
    </xf>
    <xf numFmtId="177" fontId="5" fillId="0" borderId="37" xfId="0" applyNumberFormat="1" applyFont="1" applyBorder="1" applyAlignment="1">
      <alignment horizontal="right" vertical="center"/>
    </xf>
    <xf numFmtId="177" fontId="5" fillId="0" borderId="9" xfId="2" applyNumberFormat="1" applyFont="1" applyFill="1" applyBorder="1" applyAlignment="1">
      <alignment horizontal="right" vertical="center"/>
    </xf>
    <xf numFmtId="177" fontId="5" fillId="0" borderId="10" xfId="0" applyNumberFormat="1" applyFont="1" applyBorder="1" applyAlignment="1">
      <alignment horizontal="right" vertical="center"/>
    </xf>
    <xf numFmtId="3" fontId="5" fillId="0" borderId="38" xfId="1" applyNumberFormat="1" applyFont="1" applyBorder="1" applyAlignment="1">
      <alignment horizontal="right" vertical="center"/>
    </xf>
    <xf numFmtId="3" fontId="5" fillId="0" borderId="12" xfId="1" applyNumberFormat="1" applyFont="1" applyFill="1" applyBorder="1" applyAlignment="1">
      <alignment horizontal="right" vertical="center"/>
    </xf>
    <xf numFmtId="3" fontId="5" fillId="0" borderId="40" xfId="1" applyNumberFormat="1" applyFont="1" applyBorder="1" applyAlignment="1">
      <alignment horizontal="right" vertical="center"/>
    </xf>
    <xf numFmtId="37" fontId="5" fillId="0" borderId="11" xfId="1" applyNumberFormat="1" applyFont="1" applyFill="1" applyBorder="1" applyAlignment="1">
      <alignment horizontal="right" vertical="center"/>
    </xf>
    <xf numFmtId="38" fontId="5" fillId="0" borderId="12" xfId="1" applyFont="1" applyFill="1" applyBorder="1" applyAlignment="1">
      <alignment horizontal="right" vertical="center"/>
    </xf>
    <xf numFmtId="37" fontId="5" fillId="0" borderId="12" xfId="0" applyNumberFormat="1" applyFont="1" applyBorder="1" applyAlignment="1">
      <alignment horizontal="right" vertical="center"/>
    </xf>
    <xf numFmtId="3" fontId="5" fillId="0" borderId="13" xfId="0" applyNumberFormat="1" applyFont="1" applyBorder="1" applyAlignment="1">
      <alignment horizontal="right" vertical="center"/>
    </xf>
    <xf numFmtId="38" fontId="5" fillId="0" borderId="2" xfId="0" applyNumberFormat="1" applyFont="1" applyBorder="1" applyAlignment="1">
      <alignment vertical="center"/>
    </xf>
    <xf numFmtId="38" fontId="5" fillId="0" borderId="1" xfId="0" applyNumberFormat="1" applyFont="1" applyBorder="1" applyAlignment="1">
      <alignment vertical="center"/>
    </xf>
    <xf numFmtId="3" fontId="5" fillId="0" borderId="1" xfId="0" applyNumberFormat="1" applyFont="1" applyBorder="1" applyAlignment="1">
      <alignment vertical="center"/>
    </xf>
    <xf numFmtId="38" fontId="5" fillId="0" borderId="10" xfId="1" applyFont="1" applyFill="1" applyBorder="1" applyAlignment="1">
      <alignment vertical="center"/>
    </xf>
    <xf numFmtId="177" fontId="5" fillId="0" borderId="2" xfId="2" applyNumberFormat="1" applyFont="1" applyFill="1" applyBorder="1" applyAlignment="1">
      <alignment vertical="center"/>
    </xf>
    <xf numFmtId="177" fontId="5" fillId="0" borderId="1" xfId="2" applyNumberFormat="1" applyFont="1" applyFill="1" applyBorder="1" applyAlignment="1">
      <alignment vertical="center"/>
    </xf>
    <xf numFmtId="177" fontId="5" fillId="0" borderId="10" xfId="2" applyNumberFormat="1" applyFont="1" applyFill="1" applyBorder="1" applyAlignment="1">
      <alignment vertical="center"/>
    </xf>
    <xf numFmtId="0" fontId="5" fillId="0" borderId="68" xfId="0" applyFont="1" applyBorder="1" applyAlignment="1">
      <alignment vertical="center" wrapText="1"/>
    </xf>
    <xf numFmtId="177" fontId="5" fillId="0" borderId="3" xfId="2" applyNumberFormat="1" applyFont="1" applyFill="1" applyBorder="1" applyAlignment="1">
      <alignment horizontal="right" vertical="center"/>
    </xf>
    <xf numFmtId="177" fontId="5" fillId="0" borderId="16" xfId="2" applyNumberFormat="1" applyFont="1" applyFill="1" applyBorder="1" applyAlignment="1">
      <alignment vertical="center"/>
    </xf>
    <xf numFmtId="1" fontId="5" fillId="0" borderId="22" xfId="0" applyNumberFormat="1" applyFont="1" applyBorder="1" applyAlignment="1">
      <alignment horizontal="right" vertical="center" wrapText="1"/>
    </xf>
    <xf numFmtId="1" fontId="5" fillId="0" borderId="7" xfId="0" applyNumberFormat="1" applyFont="1" applyBorder="1" applyAlignment="1">
      <alignment horizontal="right" vertical="center" wrapText="1"/>
    </xf>
    <xf numFmtId="1" fontId="5" fillId="0" borderId="8" xfId="0" applyNumberFormat="1" applyFont="1" applyBorder="1" applyAlignment="1">
      <alignment vertical="center"/>
    </xf>
    <xf numFmtId="1" fontId="5" fillId="0" borderId="2" xfId="0" applyNumberFormat="1" applyFont="1" applyBorder="1" applyAlignment="1">
      <alignment horizontal="right" vertical="center"/>
    </xf>
    <xf numFmtId="1" fontId="5" fillId="0" borderId="1" xfId="0" applyNumberFormat="1" applyFont="1" applyBorder="1" applyAlignment="1">
      <alignment horizontal="right" vertical="center"/>
    </xf>
    <xf numFmtId="1" fontId="5" fillId="0" borderId="10" xfId="0" applyNumberFormat="1" applyFont="1" applyBorder="1" applyAlignment="1">
      <alignment vertical="center"/>
    </xf>
    <xf numFmtId="38" fontId="5" fillId="0" borderId="2" xfId="1" applyFont="1" applyBorder="1" applyAlignment="1">
      <alignment horizontal="right" vertical="center"/>
    </xf>
    <xf numFmtId="178" fontId="5" fillId="0" borderId="2" xfId="0" applyNumberFormat="1" applyFont="1" applyBorder="1" applyAlignment="1">
      <alignment vertical="center"/>
    </xf>
    <xf numFmtId="178" fontId="5" fillId="0" borderId="1" xfId="0" applyNumberFormat="1" applyFont="1" applyBorder="1" applyAlignment="1">
      <alignment vertical="center"/>
    </xf>
    <xf numFmtId="178" fontId="5" fillId="0" borderId="23" xfId="0" applyNumberFormat="1" applyFont="1" applyBorder="1" applyAlignment="1">
      <alignment horizontal="right" vertical="center"/>
    </xf>
    <xf numFmtId="178" fontId="5" fillId="0" borderId="12" xfId="0" applyNumberFormat="1" applyFont="1" applyBorder="1" applyAlignment="1">
      <alignment horizontal="right" vertical="center"/>
    </xf>
    <xf numFmtId="180" fontId="5" fillId="0" borderId="13" xfId="0" applyNumberFormat="1" applyFont="1" applyBorder="1" applyAlignment="1">
      <alignment horizontal="right" vertical="center"/>
    </xf>
    <xf numFmtId="180" fontId="5" fillId="0" borderId="22" xfId="0" applyNumberFormat="1" applyFont="1" applyBorder="1" applyAlignment="1">
      <alignment vertical="center"/>
    </xf>
    <xf numFmtId="180" fontId="5" fillId="0" borderId="7" xfId="0" applyNumberFormat="1" applyFont="1" applyBorder="1" applyAlignment="1">
      <alignment vertical="center"/>
    </xf>
    <xf numFmtId="180" fontId="5" fillId="0" borderId="8" xfId="0" applyNumberFormat="1" applyFont="1" applyBorder="1" applyAlignment="1">
      <alignment vertical="center"/>
    </xf>
    <xf numFmtId="38" fontId="5" fillId="0" borderId="2" xfId="1" applyFont="1" applyFill="1" applyBorder="1" applyAlignment="1">
      <alignment vertical="center"/>
    </xf>
    <xf numFmtId="178" fontId="5" fillId="0" borderId="1" xfId="0" applyNumberFormat="1" applyFont="1" applyBorder="1" applyAlignment="1">
      <alignment horizontal="right" vertical="center"/>
    </xf>
    <xf numFmtId="178" fontId="5" fillId="0" borderId="3" xfId="0" applyNumberFormat="1" applyFont="1" applyBorder="1" applyAlignment="1">
      <alignment vertical="center"/>
    </xf>
    <xf numFmtId="178" fontId="5" fillId="0" borderId="15" xfId="0" applyNumberFormat="1" applyFont="1" applyBorder="1" applyAlignment="1">
      <alignment vertical="center"/>
    </xf>
    <xf numFmtId="0" fontId="5" fillId="0" borderId="22"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177" fontId="5" fillId="0" borderId="23" xfId="2" applyNumberFormat="1" applyFont="1" applyFill="1" applyBorder="1" applyAlignment="1">
      <alignment horizontal="right" vertical="center"/>
    </xf>
    <xf numFmtId="177" fontId="4" fillId="0" borderId="0" xfId="2" applyNumberFormat="1" applyFont="1" applyFill="1" applyBorder="1" applyAlignment="1">
      <alignment horizontal="right" vertical="center"/>
    </xf>
    <xf numFmtId="177" fontId="4" fillId="0" borderId="0" xfId="2" applyNumberFormat="1" applyFont="1" applyFill="1" applyBorder="1" applyAlignment="1">
      <alignment vertical="center"/>
    </xf>
    <xf numFmtId="9" fontId="4" fillId="0" borderId="0" xfId="2" applyFont="1" applyFill="1" applyBorder="1" applyAlignment="1">
      <alignment vertical="center"/>
    </xf>
    <xf numFmtId="181" fontId="5" fillId="0" borderId="4" xfId="0" applyNumberFormat="1" applyFont="1" applyBorder="1" applyAlignment="1">
      <alignment horizontal="right" vertical="center"/>
    </xf>
    <xf numFmtId="181" fontId="5" fillId="0" borderId="5" xfId="0" applyNumberFormat="1" applyFont="1" applyBorder="1" applyAlignment="1">
      <alignment horizontal="right" vertical="center"/>
    </xf>
    <xf numFmtId="181" fontId="5" fillId="0" borderId="2" xfId="0" applyNumberFormat="1" applyFont="1" applyBorder="1" applyAlignment="1">
      <alignment horizontal="right" vertical="center"/>
    </xf>
    <xf numFmtId="181" fontId="5" fillId="0" borderId="1" xfId="0" applyNumberFormat="1" applyFont="1" applyBorder="1" applyAlignment="1">
      <alignment horizontal="right" vertical="center"/>
    </xf>
    <xf numFmtId="181" fontId="5" fillId="0" borderId="23" xfId="0" applyNumberFormat="1" applyFont="1" applyBorder="1" applyAlignment="1">
      <alignment horizontal="right" vertical="center"/>
    </xf>
    <xf numFmtId="181" fontId="5" fillId="0" borderId="12" xfId="0" applyNumberFormat="1" applyFont="1" applyBorder="1" applyAlignment="1">
      <alignment horizontal="right" vertical="center"/>
    </xf>
    <xf numFmtId="177" fontId="4" fillId="0" borderId="0" xfId="2" applyNumberFormat="1" applyFont="1" applyFill="1" applyBorder="1">
      <alignment vertical="center"/>
    </xf>
    <xf numFmtId="0" fontId="4" fillId="0" borderId="0" xfId="0" applyFont="1" applyAlignment="1">
      <alignment vertical="center"/>
    </xf>
    <xf numFmtId="38" fontId="5" fillId="0" borderId="4" xfId="0" applyNumberFormat="1" applyFont="1" applyBorder="1" applyAlignment="1">
      <alignment vertical="center"/>
    </xf>
    <xf numFmtId="38" fontId="5" fillId="0" borderId="5" xfId="0" applyNumberFormat="1" applyFont="1" applyBorder="1" applyAlignment="1">
      <alignment vertical="center"/>
    </xf>
    <xf numFmtId="38" fontId="5" fillId="0" borderId="18" xfId="1" applyFont="1" applyFill="1" applyBorder="1" applyAlignment="1">
      <alignment vertical="center"/>
    </xf>
    <xf numFmtId="177" fontId="5" fillId="0" borderId="3" xfId="2" applyNumberFormat="1" applyFont="1" applyFill="1" applyBorder="1">
      <alignment vertical="center"/>
    </xf>
    <xf numFmtId="177" fontId="5" fillId="0" borderId="15" xfId="2" applyNumberFormat="1" applyFont="1" applyFill="1" applyBorder="1">
      <alignmen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15" xfId="0" applyFont="1" applyBorder="1" applyAlignment="1">
      <alignment horizontal="center" vertical="center"/>
    </xf>
    <xf numFmtId="0" fontId="5" fillId="0" borderId="22" xfId="0" applyFont="1" applyBorder="1" applyAlignment="1">
      <alignment horizontal="center" vertical="center"/>
    </xf>
    <xf numFmtId="0" fontId="5" fillId="0" borderId="7" xfId="0" applyFont="1" applyBorder="1" applyAlignment="1">
      <alignment horizontal="center" vertical="center"/>
    </xf>
    <xf numFmtId="38" fontId="5" fillId="0" borderId="7" xfId="0" applyNumberFormat="1" applyFont="1" applyBorder="1" applyAlignment="1">
      <alignment vertical="center"/>
    </xf>
    <xf numFmtId="38" fontId="5" fillId="0" borderId="8" xfId="1" applyFont="1" applyFill="1" applyBorder="1" applyAlignment="1">
      <alignment vertical="center"/>
    </xf>
    <xf numFmtId="0" fontId="5" fillId="0" borderId="23" xfId="0" applyFont="1" applyBorder="1" applyAlignment="1">
      <alignment horizontal="center" vertical="center"/>
    </xf>
    <xf numFmtId="0" fontId="5" fillId="0" borderId="12" xfId="0" applyFont="1" applyBorder="1" applyAlignment="1">
      <alignment horizontal="center" vertical="center"/>
    </xf>
    <xf numFmtId="177" fontId="5" fillId="0" borderId="12" xfId="2" applyNumberFormat="1" applyFont="1" applyFill="1" applyBorder="1">
      <alignment vertical="center"/>
    </xf>
    <xf numFmtId="176" fontId="5" fillId="0" borderId="2" xfId="0" applyNumberFormat="1" applyFont="1" applyBorder="1" applyAlignment="1">
      <alignment vertical="center"/>
    </xf>
    <xf numFmtId="176" fontId="5" fillId="0" borderId="1" xfId="0" applyNumberFormat="1" applyFont="1" applyBorder="1" applyAlignment="1">
      <alignment vertical="center"/>
    </xf>
    <xf numFmtId="179" fontId="5" fillId="0" borderId="1" xfId="0" applyNumberFormat="1" applyFont="1" applyBorder="1" applyAlignment="1">
      <alignment vertical="center"/>
    </xf>
    <xf numFmtId="177" fontId="5" fillId="0" borderId="23" xfId="0" applyNumberFormat="1" applyFont="1" applyBorder="1" applyAlignment="1">
      <alignment vertical="center"/>
    </xf>
    <xf numFmtId="177" fontId="5" fillId="0" borderId="12" xfId="0" applyNumberFormat="1" applyFont="1" applyBorder="1" applyAlignment="1">
      <alignment vertical="center"/>
    </xf>
    <xf numFmtId="49" fontId="5" fillId="0" borderId="0" xfId="0" applyNumberFormat="1" applyFont="1" applyAlignment="1">
      <alignmen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3" fontId="5" fillId="0" borderId="7" xfId="0" applyNumberFormat="1" applyFont="1" applyBorder="1" applyAlignment="1">
      <alignment vertical="center"/>
    </xf>
    <xf numFmtId="0" fontId="5" fillId="0" borderId="1" xfId="0" applyFont="1" applyBorder="1" applyAlignment="1">
      <alignment vertical="center"/>
    </xf>
    <xf numFmtId="0" fontId="5" fillId="0" borderId="6" xfId="0" applyFont="1" applyBorder="1" applyAlignment="1">
      <alignment horizontal="center" vertical="center"/>
    </xf>
    <xf numFmtId="0" fontId="5" fillId="0" borderId="17" xfId="0" applyFont="1" applyBorder="1" applyAlignment="1">
      <alignment horizontal="center" vertical="center"/>
    </xf>
    <xf numFmtId="0" fontId="5" fillId="0" borderId="71" xfId="0" applyFont="1" applyBorder="1" applyAlignment="1">
      <alignment horizontal="center" vertical="center"/>
    </xf>
    <xf numFmtId="0" fontId="5" fillId="0" borderId="39" xfId="0" applyFont="1" applyBorder="1" applyAlignment="1">
      <alignment horizontal="center" vertical="center"/>
    </xf>
    <xf numFmtId="38" fontId="5" fillId="0" borderId="4" xfId="1" applyFont="1" applyFill="1" applyBorder="1" applyAlignment="1">
      <alignment horizontal="right" vertical="center"/>
    </xf>
    <xf numFmtId="37" fontId="5" fillId="0" borderId="2" xfId="1" applyNumberFormat="1" applyFont="1" applyFill="1" applyBorder="1" applyAlignment="1">
      <alignment horizontal="right" vertical="center"/>
    </xf>
    <xf numFmtId="38" fontId="5" fillId="0" borderId="4" xfId="0" applyNumberFormat="1" applyFont="1" applyBorder="1" applyAlignment="1">
      <alignment horizontal="right" vertical="center"/>
    </xf>
    <xf numFmtId="3" fontId="5" fillId="0" borderId="2" xfId="0" applyNumberFormat="1" applyFont="1" applyBorder="1" applyAlignment="1">
      <alignment horizontal="right" vertical="center"/>
    </xf>
    <xf numFmtId="38" fontId="5" fillId="0" borderId="22" xfId="1" applyFont="1" applyFill="1" applyBorder="1" applyAlignment="1">
      <alignment horizontal="right" vertical="center"/>
    </xf>
    <xf numFmtId="1" fontId="5" fillId="0" borderId="1" xfId="0" applyNumberFormat="1" applyFont="1" applyBorder="1" applyAlignment="1">
      <alignment horizontal="center" vertical="center"/>
    </xf>
    <xf numFmtId="178" fontId="5" fillId="0" borderId="12" xfId="0" applyNumberFormat="1" applyFont="1" applyBorder="1" applyAlignment="1">
      <alignment horizontal="center" vertical="center"/>
    </xf>
    <xf numFmtId="178" fontId="5" fillId="0" borderId="1" xfId="0" applyNumberFormat="1" applyFont="1" applyBorder="1" applyAlignment="1">
      <alignment horizontal="center" vertical="center"/>
    </xf>
    <xf numFmtId="0" fontId="5" fillId="3" borderId="26" xfId="0" applyFont="1" applyFill="1" applyBorder="1" applyAlignment="1">
      <alignment horizontal="left" vertical="center"/>
    </xf>
    <xf numFmtId="0" fontId="5" fillId="3" borderId="27" xfId="0" applyFont="1" applyFill="1" applyBorder="1" applyAlignment="1">
      <alignment horizontal="left" vertical="center"/>
    </xf>
    <xf numFmtId="0" fontId="5" fillId="3" borderId="57" xfId="0" applyFont="1" applyFill="1" applyBorder="1" applyAlignment="1">
      <alignment horizontal="left" vertical="center"/>
    </xf>
    <xf numFmtId="0" fontId="5" fillId="2" borderId="59" xfId="0" applyFont="1" applyFill="1" applyBorder="1" applyAlignment="1">
      <alignment horizontal="center" vertical="center" wrapText="1"/>
    </xf>
    <xf numFmtId="0" fontId="5" fillId="2" borderId="56" xfId="0" applyFont="1" applyFill="1" applyBorder="1" applyAlignment="1">
      <alignment horizontal="center" vertical="center"/>
    </xf>
    <xf numFmtId="0" fontId="5" fillId="2" borderId="2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29"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2" borderId="30" xfId="0" applyFont="1" applyFill="1" applyBorder="1" applyAlignment="1">
      <alignment horizontal="center" vertical="center"/>
    </xf>
    <xf numFmtId="0" fontId="5" fillId="3" borderId="52" xfId="0" applyFont="1" applyFill="1" applyBorder="1" applyAlignment="1">
      <alignment horizontal="left" vertical="center" wrapText="1"/>
    </xf>
    <xf numFmtId="0" fontId="5" fillId="3" borderId="62" xfId="0" applyFont="1" applyFill="1" applyBorder="1" applyAlignment="1">
      <alignment horizontal="left" vertical="center" wrapText="1"/>
    </xf>
    <xf numFmtId="0" fontId="5" fillId="3" borderId="63"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0" xfId="0" applyFont="1" applyFill="1" applyBorder="1" applyAlignment="1">
      <alignment horizontal="left" vertical="center" wrapText="1"/>
    </xf>
    <xf numFmtId="0" fontId="5" fillId="3" borderId="52" xfId="0" applyFont="1" applyFill="1" applyBorder="1" applyAlignment="1">
      <alignment horizontal="left" vertical="center"/>
    </xf>
    <xf numFmtId="0" fontId="5" fillId="3" borderId="19" xfId="0" applyFont="1" applyFill="1" applyBorder="1" applyAlignment="1">
      <alignment horizontal="left" vertical="center"/>
    </xf>
    <xf numFmtId="0" fontId="5" fillId="3" borderId="20" xfId="0" applyFont="1" applyFill="1" applyBorder="1" applyAlignment="1">
      <alignment horizontal="left" vertical="center"/>
    </xf>
    <xf numFmtId="0" fontId="5" fillId="3" borderId="58" xfId="0" applyFont="1" applyFill="1" applyBorder="1" applyAlignment="1">
      <alignment horizontal="left" vertical="center" wrapText="1"/>
    </xf>
    <xf numFmtId="0" fontId="5" fillId="3" borderId="69" xfId="0" applyFont="1" applyFill="1" applyBorder="1" applyAlignment="1">
      <alignment horizontal="left" vertical="center" wrapText="1"/>
    </xf>
    <xf numFmtId="0" fontId="5" fillId="3" borderId="70"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5" fillId="3" borderId="57" xfId="0" applyFont="1" applyFill="1" applyBorder="1" applyAlignment="1">
      <alignment horizontal="left" vertical="center" wrapText="1"/>
    </xf>
    <xf numFmtId="0" fontId="5" fillId="3" borderId="24" xfId="0" applyFont="1" applyFill="1" applyBorder="1" applyAlignment="1">
      <alignment horizontal="left" vertical="center" wrapText="1"/>
    </xf>
    <xf numFmtId="0" fontId="7"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wrapText="1"/>
    </xf>
    <xf numFmtId="0" fontId="5" fillId="3" borderId="25" xfId="0" applyFont="1" applyFill="1" applyBorder="1" applyAlignment="1">
      <alignment horizontal="left" vertical="center" wrapText="1"/>
    </xf>
    <xf numFmtId="0" fontId="5" fillId="3" borderId="26" xfId="0" applyFont="1" applyFill="1" applyBorder="1" applyAlignment="1">
      <alignment horizontal="left" vertical="center" wrapText="1"/>
    </xf>
    <xf numFmtId="0" fontId="8" fillId="3" borderId="26" xfId="0" applyFont="1" applyFill="1" applyBorder="1" applyAlignment="1">
      <alignment horizontal="left" vertical="center" wrapText="1"/>
    </xf>
    <xf numFmtId="0" fontId="8" fillId="3" borderId="27" xfId="0" applyFont="1" applyFill="1" applyBorder="1" applyAlignment="1">
      <alignment horizontal="left" vertical="center" wrapText="1"/>
    </xf>
    <xf numFmtId="0" fontId="8" fillId="3" borderId="57" xfId="0" applyFont="1" applyFill="1" applyBorder="1" applyAlignment="1">
      <alignment horizontal="left" vertical="center" wrapText="1"/>
    </xf>
    <xf numFmtId="0" fontId="5" fillId="2" borderId="60" xfId="0" applyFont="1" applyFill="1" applyBorder="1" applyAlignment="1">
      <alignment horizontal="center" vertical="center" wrapText="1"/>
    </xf>
    <xf numFmtId="0" fontId="5" fillId="2" borderId="61" xfId="0" applyFont="1" applyFill="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ユーザー定義 1">
      <a:dk1>
        <a:srgbClr val="001E61"/>
      </a:dk1>
      <a:lt1>
        <a:srgbClr val="FFFFFF"/>
      </a:lt1>
      <a:dk2>
        <a:srgbClr val="485BC7"/>
      </a:dk2>
      <a:lt2>
        <a:srgbClr val="A0DAB2"/>
      </a:lt2>
      <a:accent1>
        <a:srgbClr val="00B287"/>
      </a:accent1>
      <a:accent2>
        <a:srgbClr val="ECDF4B"/>
      </a:accent2>
      <a:accent3>
        <a:srgbClr val="DF4F37"/>
      </a:accent3>
      <a:accent4>
        <a:srgbClr val="FBC899"/>
      </a:accent4>
      <a:accent5>
        <a:srgbClr val="F0EB9C"/>
      </a:accent5>
      <a:accent6>
        <a:srgbClr val="B6B8DA"/>
      </a:accent6>
      <a:hlink>
        <a:srgbClr val="485BC7"/>
      </a:hlink>
      <a:folHlink>
        <a:srgbClr val="B6B8DB"/>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3"/>
  <sheetViews>
    <sheetView view="pageBreakPreview" topLeftCell="A25" zoomScale="60" zoomScaleNormal="60" workbookViewId="0">
      <selection activeCell="R31" sqref="R31"/>
    </sheetView>
  </sheetViews>
  <sheetFormatPr defaultRowHeight="18" x14ac:dyDescent="0.55000000000000004"/>
  <cols>
    <col min="1" max="1" width="31.08203125" customWidth="1"/>
    <col min="2" max="13" width="10.58203125" customWidth="1"/>
    <col min="14" max="14" width="10.58203125" style="2" customWidth="1"/>
    <col min="15" max="16" width="10.58203125" customWidth="1"/>
  </cols>
  <sheetData>
    <row r="1" spans="1:15" ht="20.149999999999999" customHeight="1" x14ac:dyDescent="0.55000000000000004">
      <c r="A1" s="4" t="s">
        <v>0</v>
      </c>
      <c r="B1" s="5"/>
      <c r="C1" s="5"/>
      <c r="D1" s="5"/>
      <c r="E1" s="5"/>
      <c r="F1" s="5"/>
      <c r="G1" s="5"/>
      <c r="H1" s="5"/>
      <c r="I1" s="5"/>
      <c r="J1" s="5"/>
      <c r="K1" s="5"/>
      <c r="L1" s="5"/>
      <c r="M1" s="5"/>
    </row>
    <row r="2" spans="1:15" ht="20.149999999999999" customHeight="1" thickBot="1" x14ac:dyDescent="0.6">
      <c r="A2" s="4" t="s">
        <v>1</v>
      </c>
      <c r="B2" s="5"/>
      <c r="C2" s="5"/>
      <c r="D2" s="5"/>
      <c r="E2" s="5"/>
      <c r="F2" s="5"/>
      <c r="G2" s="5"/>
      <c r="H2" s="5"/>
      <c r="I2" s="5"/>
      <c r="J2" s="5"/>
      <c r="K2" s="5"/>
      <c r="L2" s="5"/>
      <c r="M2" s="5"/>
    </row>
    <row r="3" spans="1:15" ht="20.149999999999999" customHeight="1" x14ac:dyDescent="0.55000000000000004">
      <c r="A3" s="235" t="s">
        <v>2</v>
      </c>
      <c r="B3" s="235" t="s">
        <v>3</v>
      </c>
      <c r="C3" s="236"/>
      <c r="D3" s="236"/>
      <c r="E3" s="236"/>
      <c r="F3" s="236"/>
      <c r="G3" s="236"/>
      <c r="H3" s="237"/>
      <c r="I3" s="238" t="s">
        <v>4</v>
      </c>
      <c r="J3" s="233"/>
      <c r="K3" s="233"/>
      <c r="L3" s="233"/>
      <c r="M3" s="233"/>
      <c r="N3" s="233"/>
      <c r="O3" s="234"/>
    </row>
    <row r="4" spans="1:15" ht="20.149999999999999" customHeight="1" thickBot="1" x14ac:dyDescent="0.6">
      <c r="A4" s="239"/>
      <c r="B4" s="6" t="s">
        <v>5</v>
      </c>
      <c r="C4" s="7" t="s">
        <v>6</v>
      </c>
      <c r="D4" s="8" t="s">
        <v>7</v>
      </c>
      <c r="E4" s="7" t="s">
        <v>8</v>
      </c>
      <c r="F4" s="7" t="s">
        <v>9</v>
      </c>
      <c r="G4" s="7" t="s">
        <v>10</v>
      </c>
      <c r="H4" s="9" t="s">
        <v>11</v>
      </c>
      <c r="I4" s="6" t="s">
        <v>5</v>
      </c>
      <c r="J4" s="7" t="s">
        <v>6</v>
      </c>
      <c r="K4" s="7" t="s">
        <v>7</v>
      </c>
      <c r="L4" s="7" t="s">
        <v>8</v>
      </c>
      <c r="M4" s="7" t="s">
        <v>9</v>
      </c>
      <c r="N4" s="7" t="s">
        <v>10</v>
      </c>
      <c r="O4" s="9" t="s">
        <v>11</v>
      </c>
    </row>
    <row r="5" spans="1:15" ht="40" customHeight="1" x14ac:dyDescent="0.55000000000000004">
      <c r="A5" s="10" t="s">
        <v>12</v>
      </c>
      <c r="B5" s="124">
        <v>105329</v>
      </c>
      <c r="C5" s="92">
        <f>D5-B5</f>
        <v>119751</v>
      </c>
      <c r="D5" s="11">
        <v>225080</v>
      </c>
      <c r="E5" s="92">
        <f>363068-D5</f>
        <v>137988</v>
      </c>
      <c r="F5" s="92">
        <f>G5-E5</f>
        <v>121533</v>
      </c>
      <c r="G5" s="12">
        <f>H5-D5</f>
        <v>259521</v>
      </c>
      <c r="H5" s="125">
        <v>484601</v>
      </c>
      <c r="I5" s="126">
        <v>152297</v>
      </c>
      <c r="J5" s="43">
        <f>K5-I5</f>
        <v>137782</v>
      </c>
      <c r="K5" s="13">
        <v>290079</v>
      </c>
      <c r="L5" s="43">
        <f>448105-I5-J5</f>
        <v>158026</v>
      </c>
      <c r="M5" s="92">
        <f>N5-L5</f>
        <v>122358</v>
      </c>
      <c r="N5" s="14">
        <f>O5-K5</f>
        <v>280384</v>
      </c>
      <c r="O5" s="127">
        <v>570463</v>
      </c>
    </row>
    <row r="6" spans="1:15" ht="40" customHeight="1" x14ac:dyDescent="0.55000000000000004">
      <c r="A6" s="15" t="s">
        <v>13</v>
      </c>
      <c r="B6" s="128">
        <v>10057</v>
      </c>
      <c r="C6" s="92">
        <f>D6-B6</f>
        <v>9109</v>
      </c>
      <c r="D6" s="16">
        <v>19166</v>
      </c>
      <c r="E6" s="103">
        <f>36051-D6</f>
        <v>16885</v>
      </c>
      <c r="F6" s="92">
        <f>G6-E6</f>
        <v>-2049</v>
      </c>
      <c r="G6" s="12">
        <f>H6-D6</f>
        <v>14836</v>
      </c>
      <c r="H6" s="129">
        <v>34002</v>
      </c>
      <c r="I6" s="130">
        <v>22120</v>
      </c>
      <c r="J6" s="47">
        <f>K6-I6</f>
        <v>11490</v>
      </c>
      <c r="K6" s="17">
        <v>33610</v>
      </c>
      <c r="L6" s="105">
        <f>55805-I6-J6</f>
        <v>22195</v>
      </c>
      <c r="M6" s="103">
        <f>N6-L6</f>
        <v>-1590</v>
      </c>
      <c r="N6" s="18">
        <f>O6-K6</f>
        <v>20605</v>
      </c>
      <c r="O6" s="106">
        <v>54215</v>
      </c>
    </row>
    <row r="7" spans="1:15" ht="40" customHeight="1" x14ac:dyDescent="0.55000000000000004">
      <c r="A7" s="15" t="s">
        <v>14</v>
      </c>
      <c r="B7" s="131">
        <v>9.5000000000000001E-2</v>
      </c>
      <c r="C7" s="21">
        <f>C6/C5</f>
        <v>7.606617063740595E-2</v>
      </c>
      <c r="D7" s="19">
        <f>D6/D5</f>
        <v>8.5151945974764526E-2</v>
      </c>
      <c r="E7" s="21">
        <f t="shared" ref="E7:L7" si="0">E6/E5</f>
        <v>0.1223657129605473</v>
      </c>
      <c r="F7" s="20">
        <f>F6/F5</f>
        <v>-1.6859618375256104E-2</v>
      </c>
      <c r="G7" s="20">
        <f>G6/G5</f>
        <v>5.716685740267647E-2</v>
      </c>
      <c r="H7" s="132">
        <v>7.0000000000000007E-2</v>
      </c>
      <c r="I7" s="133">
        <f t="shared" si="0"/>
        <v>0.14524251955061493</v>
      </c>
      <c r="J7" s="21">
        <f t="shared" si="0"/>
        <v>8.3392605710470163E-2</v>
      </c>
      <c r="K7" s="20">
        <v>0.11600000000000001</v>
      </c>
      <c r="L7" s="21">
        <f t="shared" si="0"/>
        <v>0.14045157126042551</v>
      </c>
      <c r="M7" s="21">
        <f>M6/M5</f>
        <v>-1.2994655028686315E-2</v>
      </c>
      <c r="N7" s="21">
        <f>N6/N5</f>
        <v>7.3488501483679525E-2</v>
      </c>
      <c r="O7" s="134">
        <v>9.5000000000000001E-2</v>
      </c>
    </row>
    <row r="8" spans="1:15" ht="40" customHeight="1" thickBot="1" x14ac:dyDescent="0.6">
      <c r="A8" s="22" t="s">
        <v>15</v>
      </c>
      <c r="B8" s="135">
        <v>8725</v>
      </c>
      <c r="C8" s="136">
        <f>D8-B8</f>
        <v>4837</v>
      </c>
      <c r="D8" s="23">
        <v>13562</v>
      </c>
      <c r="E8" s="136">
        <f>23245-D8</f>
        <v>9683</v>
      </c>
      <c r="F8" s="136">
        <f>G8-E8</f>
        <v>-3358</v>
      </c>
      <c r="G8" s="24">
        <f>H8-D8</f>
        <v>6325</v>
      </c>
      <c r="H8" s="137">
        <v>19887</v>
      </c>
      <c r="I8" s="138">
        <v>16310</v>
      </c>
      <c r="J8" s="139">
        <f>K8-I8</f>
        <v>8486</v>
      </c>
      <c r="K8" s="25">
        <v>24796</v>
      </c>
      <c r="L8" s="140">
        <f>40280-I8-J8</f>
        <v>15484</v>
      </c>
      <c r="M8" s="136">
        <f>N8-L8</f>
        <v>-5008</v>
      </c>
      <c r="N8" s="26">
        <f>O8-K8</f>
        <v>10476</v>
      </c>
      <c r="O8" s="141">
        <v>35272</v>
      </c>
    </row>
    <row r="9" spans="1:15" ht="20.149999999999999" customHeight="1" x14ac:dyDescent="0.55000000000000004"/>
    <row r="10" spans="1:15" ht="20.149999999999999" customHeight="1" x14ac:dyDescent="0.55000000000000004">
      <c r="A10" s="4" t="s">
        <v>16</v>
      </c>
    </row>
    <row r="11" spans="1:15" ht="20.149999999999999" customHeight="1" thickBot="1" x14ac:dyDescent="0.6">
      <c r="A11" s="4" t="s">
        <v>17</v>
      </c>
    </row>
    <row r="12" spans="1:15" ht="20.149999999999999" customHeight="1" x14ac:dyDescent="0.55000000000000004">
      <c r="A12" s="229" t="s">
        <v>2</v>
      </c>
      <c r="B12" s="231" t="s">
        <v>3</v>
      </c>
      <c r="C12" s="232"/>
      <c r="D12" s="232"/>
      <c r="E12" s="232"/>
      <c r="F12" s="232"/>
      <c r="G12" s="232"/>
      <c r="H12" s="232"/>
      <c r="I12" s="233" t="s">
        <v>4</v>
      </c>
      <c r="J12" s="233"/>
      <c r="K12" s="233"/>
      <c r="L12" s="233"/>
      <c r="M12" s="233"/>
      <c r="N12" s="233"/>
      <c r="O12" s="234"/>
    </row>
    <row r="13" spans="1:15" ht="20.149999999999999" customHeight="1" thickBot="1" x14ac:dyDescent="0.6">
      <c r="A13" s="230"/>
      <c r="B13" s="8" t="s">
        <v>5</v>
      </c>
      <c r="C13" s="7" t="s">
        <v>6</v>
      </c>
      <c r="D13" s="7" t="s">
        <v>7</v>
      </c>
      <c r="E13" s="7" t="s">
        <v>8</v>
      </c>
      <c r="F13" s="7" t="s">
        <v>9</v>
      </c>
      <c r="G13" s="7" t="s">
        <v>10</v>
      </c>
      <c r="H13" s="7" t="s">
        <v>11</v>
      </c>
      <c r="I13" s="7" t="s">
        <v>5</v>
      </c>
      <c r="J13" s="7" t="s">
        <v>6</v>
      </c>
      <c r="K13" s="7" t="s">
        <v>7</v>
      </c>
      <c r="L13" s="7" t="s">
        <v>8</v>
      </c>
      <c r="M13" s="7" t="s">
        <v>9</v>
      </c>
      <c r="N13" s="7" t="s">
        <v>10</v>
      </c>
      <c r="O13" s="9" t="s">
        <v>11</v>
      </c>
    </row>
    <row r="14" spans="1:15" ht="20.149999999999999" customHeight="1" thickBot="1" x14ac:dyDescent="0.6">
      <c r="A14" s="226" t="s">
        <v>18</v>
      </c>
      <c r="B14" s="227"/>
      <c r="C14" s="227"/>
      <c r="D14" s="227"/>
      <c r="E14" s="227"/>
      <c r="F14" s="227"/>
      <c r="G14" s="227"/>
      <c r="H14" s="227"/>
      <c r="I14" s="227"/>
      <c r="J14" s="227"/>
      <c r="K14" s="227"/>
      <c r="L14" s="227"/>
      <c r="M14" s="227"/>
      <c r="N14" s="227"/>
      <c r="O14" s="228"/>
    </row>
    <row r="15" spans="1:15" ht="40" customHeight="1" x14ac:dyDescent="0.55000000000000004">
      <c r="A15" s="27" t="s">
        <v>12</v>
      </c>
      <c r="B15" s="91">
        <v>58779</v>
      </c>
      <c r="C15" s="92">
        <f>D15-B15</f>
        <v>64505</v>
      </c>
      <c r="D15" s="93">
        <v>123284</v>
      </c>
      <c r="E15" s="94">
        <v>73986</v>
      </c>
      <c r="F15" s="92">
        <f>G15-E15</f>
        <v>61002</v>
      </c>
      <c r="G15" s="12">
        <f>H15-D15</f>
        <v>134988</v>
      </c>
      <c r="H15" s="28">
        <v>258272</v>
      </c>
      <c r="I15" s="95">
        <v>77913</v>
      </c>
      <c r="J15" s="96">
        <f>K15-I15</f>
        <v>69926</v>
      </c>
      <c r="K15" s="97">
        <v>147839</v>
      </c>
      <c r="L15" s="53">
        <v>79231</v>
      </c>
      <c r="M15" s="96">
        <f>N15-L15</f>
        <v>58859</v>
      </c>
      <c r="N15" s="29">
        <f>O15-K15</f>
        <v>138090</v>
      </c>
      <c r="O15" s="98">
        <v>285929</v>
      </c>
    </row>
    <row r="16" spans="1:15" ht="40" customHeight="1" x14ac:dyDescent="0.55000000000000004">
      <c r="A16" s="30" t="s">
        <v>13</v>
      </c>
      <c r="B16" s="99">
        <v>13285</v>
      </c>
      <c r="C16" s="92">
        <f>D16-B16</f>
        <v>12710</v>
      </c>
      <c r="D16" s="100">
        <v>25995</v>
      </c>
      <c r="E16" s="101">
        <v>17915</v>
      </c>
      <c r="F16" s="92">
        <f>G16-E16</f>
        <v>5271</v>
      </c>
      <c r="G16" s="12">
        <f>H16-D16</f>
        <v>23186</v>
      </c>
      <c r="H16" s="31">
        <v>49181</v>
      </c>
      <c r="I16" s="102">
        <v>16913</v>
      </c>
      <c r="J16" s="103">
        <f>K16-I16</f>
        <v>12362</v>
      </c>
      <c r="K16" s="104">
        <v>29275</v>
      </c>
      <c r="L16" s="105">
        <v>15293</v>
      </c>
      <c r="M16" s="103">
        <f>N16-L16</f>
        <v>5450</v>
      </c>
      <c r="N16" s="18">
        <f>O16-K16</f>
        <v>20743</v>
      </c>
      <c r="O16" s="106">
        <v>50018</v>
      </c>
    </row>
    <row r="17" spans="1:15" ht="40" customHeight="1" thickBot="1" x14ac:dyDescent="0.6">
      <c r="A17" s="32" t="s">
        <v>14</v>
      </c>
      <c r="B17" s="107">
        <v>0.22600000000000001</v>
      </c>
      <c r="C17" s="39">
        <f>C16/C15</f>
        <v>0.19703898922564142</v>
      </c>
      <c r="D17" s="108">
        <v>0.21099999999999999</v>
      </c>
      <c r="E17" s="109">
        <f>E16/E15</f>
        <v>0.2421404049414754</v>
      </c>
      <c r="F17" s="39">
        <f t="shared" ref="F17" si="1">F16/F15</f>
        <v>8.6407003049080361E-2</v>
      </c>
      <c r="G17" s="33">
        <f>G16/G15</f>
        <v>0.17176341600734879</v>
      </c>
      <c r="H17" s="34">
        <f>H16/H15</f>
        <v>0.19042327468715153</v>
      </c>
      <c r="I17" s="110">
        <f>I16/I15</f>
        <v>0.2170754559572857</v>
      </c>
      <c r="J17" s="35">
        <f t="shared" ref="J17" si="2">J16/J15</f>
        <v>0.17678688899693962</v>
      </c>
      <c r="K17" s="111">
        <f>K16/K15</f>
        <v>0.19801946712301896</v>
      </c>
      <c r="L17" s="35">
        <f t="shared" ref="L17" si="3">L16/L15</f>
        <v>0.19301788441392889</v>
      </c>
      <c r="M17" s="35">
        <f>M16/M15</f>
        <v>9.2594165718071997E-2</v>
      </c>
      <c r="N17" s="35">
        <f>N16/N15</f>
        <v>0.15021362879281627</v>
      </c>
      <c r="O17" s="67">
        <v>0.17499999999999999</v>
      </c>
    </row>
    <row r="18" spans="1:15" ht="20.149999999999999" customHeight="1" thickBot="1" x14ac:dyDescent="0.6">
      <c r="A18" s="226" t="s">
        <v>19</v>
      </c>
      <c r="B18" s="227"/>
      <c r="C18" s="227"/>
      <c r="D18" s="227"/>
      <c r="E18" s="227"/>
      <c r="F18" s="227"/>
      <c r="G18" s="227"/>
      <c r="H18" s="227"/>
      <c r="I18" s="227"/>
      <c r="J18" s="227"/>
      <c r="K18" s="227"/>
      <c r="L18" s="227"/>
      <c r="M18" s="227"/>
      <c r="N18" s="227"/>
      <c r="O18" s="228"/>
    </row>
    <row r="19" spans="1:15" ht="40" customHeight="1" x14ac:dyDescent="0.55000000000000004">
      <c r="A19" s="36" t="s">
        <v>12</v>
      </c>
      <c r="B19" s="93">
        <v>10223</v>
      </c>
      <c r="C19" s="92">
        <f>D19-B19</f>
        <v>13297</v>
      </c>
      <c r="D19" s="93">
        <v>23520</v>
      </c>
      <c r="E19" s="94">
        <v>17478</v>
      </c>
      <c r="F19" s="92">
        <f>G19-E19</f>
        <v>13157</v>
      </c>
      <c r="G19" s="12">
        <f>H19-D19</f>
        <v>30635</v>
      </c>
      <c r="H19" s="28">
        <v>54155</v>
      </c>
      <c r="I19" s="112">
        <v>22741</v>
      </c>
      <c r="J19" s="96">
        <f>K19-I19</f>
        <v>17689</v>
      </c>
      <c r="K19" s="97">
        <v>40430</v>
      </c>
      <c r="L19" s="96">
        <v>20618</v>
      </c>
      <c r="M19" s="96">
        <f>N19-L19</f>
        <v>11107</v>
      </c>
      <c r="N19" s="29">
        <f>O19-K19</f>
        <v>31725</v>
      </c>
      <c r="O19" s="113">
        <v>72155</v>
      </c>
    </row>
    <row r="20" spans="1:15" ht="40" customHeight="1" x14ac:dyDescent="0.55000000000000004">
      <c r="A20" s="37" t="s">
        <v>13</v>
      </c>
      <c r="B20" s="100">
        <v>1540</v>
      </c>
      <c r="C20" s="92">
        <f>D20-B20</f>
        <v>2486</v>
      </c>
      <c r="D20" s="100">
        <v>4026</v>
      </c>
      <c r="E20" s="101">
        <v>4240</v>
      </c>
      <c r="F20" s="92">
        <f>G20-E20</f>
        <v>1223</v>
      </c>
      <c r="G20" s="12">
        <f>H20-D20</f>
        <v>5463</v>
      </c>
      <c r="H20" s="31">
        <v>9489</v>
      </c>
      <c r="I20" s="114">
        <v>5779</v>
      </c>
      <c r="J20" s="103">
        <f>K20-I20</f>
        <v>2921</v>
      </c>
      <c r="K20" s="115">
        <v>8700</v>
      </c>
      <c r="L20" s="103">
        <v>4303</v>
      </c>
      <c r="M20" s="103">
        <f>N20-L20</f>
        <v>-192</v>
      </c>
      <c r="N20" s="18">
        <f>O20-K20</f>
        <v>4111</v>
      </c>
      <c r="O20" s="116">
        <v>12811</v>
      </c>
    </row>
    <row r="21" spans="1:15" ht="40" customHeight="1" thickBot="1" x14ac:dyDescent="0.6">
      <c r="A21" s="38" t="s">
        <v>14</v>
      </c>
      <c r="B21" s="108">
        <v>0.151</v>
      </c>
      <c r="C21" s="39">
        <f>C20/C19</f>
        <v>0.18695946454087389</v>
      </c>
      <c r="D21" s="108">
        <v>0.17100000000000001</v>
      </c>
      <c r="E21" s="109">
        <f>E20/E19</f>
        <v>0.2425906854331159</v>
      </c>
      <c r="F21" s="39">
        <f t="shared" ref="F21" si="4">F20/F19</f>
        <v>9.2954320893820774E-2</v>
      </c>
      <c r="G21" s="33">
        <f>G20/G19</f>
        <v>0.17832544475273379</v>
      </c>
      <c r="H21" s="34">
        <f>H20/H19</f>
        <v>0.17521927799833811</v>
      </c>
      <c r="I21" s="117">
        <f>I20/I19</f>
        <v>0.25412251000395764</v>
      </c>
      <c r="J21" s="39">
        <f t="shared" ref="J21" si="5">J20/J19</f>
        <v>0.16513087229351575</v>
      </c>
      <c r="K21" s="109">
        <f>K20/K19</f>
        <v>0.21518674251793224</v>
      </c>
      <c r="L21" s="39">
        <f t="shared" ref="L21" si="6">L20/L19</f>
        <v>0.20870113493064313</v>
      </c>
      <c r="M21" s="39">
        <f>M20/M19</f>
        <v>-1.7286395966507606E-2</v>
      </c>
      <c r="N21" s="39">
        <f>N20/N19</f>
        <v>0.12958234830575255</v>
      </c>
      <c r="O21" s="118">
        <v>0.17799999999999999</v>
      </c>
    </row>
    <row r="22" spans="1:15" ht="20.149999999999999" customHeight="1" thickBot="1" x14ac:dyDescent="0.6">
      <c r="A22" s="226" t="s">
        <v>20</v>
      </c>
      <c r="B22" s="227"/>
      <c r="C22" s="227"/>
      <c r="D22" s="227"/>
      <c r="E22" s="227"/>
      <c r="F22" s="227"/>
      <c r="G22" s="227"/>
      <c r="H22" s="227"/>
      <c r="I22" s="227"/>
      <c r="J22" s="227"/>
      <c r="K22" s="227"/>
      <c r="L22" s="227"/>
      <c r="M22" s="227"/>
      <c r="N22" s="227"/>
      <c r="O22" s="228"/>
    </row>
    <row r="23" spans="1:15" ht="40" customHeight="1" x14ac:dyDescent="0.55000000000000004">
      <c r="A23" s="36" t="s">
        <v>12</v>
      </c>
      <c r="B23" s="119">
        <v>8117</v>
      </c>
      <c r="C23" s="92">
        <f>D23-B23</f>
        <v>10415</v>
      </c>
      <c r="D23" s="93">
        <v>18532</v>
      </c>
      <c r="E23" s="94">
        <v>12911</v>
      </c>
      <c r="F23" s="92">
        <f>G23-E23</f>
        <v>12023</v>
      </c>
      <c r="G23" s="12">
        <f>H23-D23</f>
        <v>24934</v>
      </c>
      <c r="H23" s="28">
        <v>43466</v>
      </c>
      <c r="I23" s="95">
        <v>15487</v>
      </c>
      <c r="J23" s="96">
        <f>K23-I23</f>
        <v>12590</v>
      </c>
      <c r="K23" s="97">
        <v>28077</v>
      </c>
      <c r="L23" s="96">
        <v>17881</v>
      </c>
      <c r="M23" s="96">
        <f>N23-L23</f>
        <v>13299</v>
      </c>
      <c r="N23" s="29">
        <f>O23-K23</f>
        <v>31180</v>
      </c>
      <c r="O23" s="113">
        <v>59257</v>
      </c>
    </row>
    <row r="24" spans="1:15" ht="40" customHeight="1" x14ac:dyDescent="0.55000000000000004">
      <c r="A24" s="37" t="s">
        <v>13</v>
      </c>
      <c r="B24" s="120">
        <v>1345</v>
      </c>
      <c r="C24" s="92">
        <f>D24-B24</f>
        <v>1798</v>
      </c>
      <c r="D24" s="100">
        <v>3143</v>
      </c>
      <c r="E24" s="101">
        <v>2202</v>
      </c>
      <c r="F24" s="92">
        <f>G24-E24</f>
        <v>1080</v>
      </c>
      <c r="G24" s="12">
        <f>H24-D24</f>
        <v>3282</v>
      </c>
      <c r="H24" s="31">
        <v>6425</v>
      </c>
      <c r="I24" s="102">
        <v>3760</v>
      </c>
      <c r="J24" s="103">
        <f>K24-I24</f>
        <v>1661</v>
      </c>
      <c r="K24" s="101">
        <v>5421</v>
      </c>
      <c r="L24" s="103">
        <v>4956</v>
      </c>
      <c r="M24" s="103">
        <f>N24-L24</f>
        <v>1670</v>
      </c>
      <c r="N24" s="18">
        <f>O24-K24</f>
        <v>6626</v>
      </c>
      <c r="O24" s="116">
        <v>12047</v>
      </c>
    </row>
    <row r="25" spans="1:15" ht="40" customHeight="1" thickBot="1" x14ac:dyDescent="0.6">
      <c r="A25" s="38" t="s">
        <v>14</v>
      </c>
      <c r="B25" s="121">
        <v>0.16600000000000001</v>
      </c>
      <c r="C25" s="39">
        <f>C24/C23</f>
        <v>0.17263562169947191</v>
      </c>
      <c r="D25" s="108">
        <v>0.17</v>
      </c>
      <c r="E25" s="109">
        <f>E24/E23</f>
        <v>0.1705522422740299</v>
      </c>
      <c r="F25" s="39">
        <f t="shared" ref="F25" si="7">F24/F23</f>
        <v>8.9827829992514346E-2</v>
      </c>
      <c r="G25" s="33">
        <f>G24/G23</f>
        <v>0.13162749659100023</v>
      </c>
      <c r="H25" s="34">
        <f>H24/H23</f>
        <v>0.14781668430497399</v>
      </c>
      <c r="I25" s="117">
        <f>I24/I23</f>
        <v>0.2427842706786337</v>
      </c>
      <c r="J25" s="39">
        <f t="shared" ref="J25" si="8">J24/J23</f>
        <v>0.13193010325655283</v>
      </c>
      <c r="K25" s="109">
        <f>K24/K23</f>
        <v>0.19307618335292231</v>
      </c>
      <c r="L25" s="39">
        <f t="shared" ref="L25" si="9">L24/L23</f>
        <v>0.27716570661596107</v>
      </c>
      <c r="M25" s="39">
        <f>M24/M23</f>
        <v>0.12557335137980299</v>
      </c>
      <c r="N25" s="39">
        <f>N24/N23</f>
        <v>0.21250801796023092</v>
      </c>
      <c r="O25" s="118">
        <v>0.20300000000000001</v>
      </c>
    </row>
    <row r="26" spans="1:15" ht="20.149999999999999" customHeight="1" thickBot="1" x14ac:dyDescent="0.6">
      <c r="A26" s="226" t="s">
        <v>21</v>
      </c>
      <c r="B26" s="227"/>
      <c r="C26" s="227"/>
      <c r="D26" s="227"/>
      <c r="E26" s="227"/>
      <c r="F26" s="227"/>
      <c r="G26" s="227"/>
      <c r="H26" s="227"/>
      <c r="I26" s="227"/>
      <c r="J26" s="227"/>
      <c r="K26" s="227"/>
      <c r="L26" s="227"/>
      <c r="M26" s="227"/>
      <c r="N26" s="227"/>
      <c r="O26" s="228"/>
    </row>
    <row r="27" spans="1:15" ht="40" customHeight="1" x14ac:dyDescent="0.55000000000000004">
      <c r="A27" s="36" t="s">
        <v>12</v>
      </c>
      <c r="B27" s="93">
        <v>8733</v>
      </c>
      <c r="C27" s="92">
        <f>D27-B27</f>
        <v>8428</v>
      </c>
      <c r="D27" s="93">
        <v>17161</v>
      </c>
      <c r="E27" s="94">
        <v>9462</v>
      </c>
      <c r="F27" s="92">
        <f>G27-E27</f>
        <v>8655</v>
      </c>
      <c r="G27" s="12">
        <f>H27-D27</f>
        <v>18117</v>
      </c>
      <c r="H27" s="28">
        <v>35278</v>
      </c>
      <c r="I27" s="112">
        <v>9605</v>
      </c>
      <c r="J27" s="96">
        <f>K27-I27</f>
        <v>8470</v>
      </c>
      <c r="K27" s="97">
        <v>18075</v>
      </c>
      <c r="L27" s="96">
        <v>9943</v>
      </c>
      <c r="M27" s="96">
        <f>N27-L27</f>
        <v>8167</v>
      </c>
      <c r="N27" s="29">
        <f>O27-K27</f>
        <v>18110</v>
      </c>
      <c r="O27" s="113">
        <v>36185</v>
      </c>
    </row>
    <row r="28" spans="1:15" ht="40" customHeight="1" x14ac:dyDescent="0.55000000000000004">
      <c r="A28" s="37" t="s">
        <v>13</v>
      </c>
      <c r="B28" s="100">
        <v>175</v>
      </c>
      <c r="C28" s="92">
        <f>D28-B28</f>
        <v>-149</v>
      </c>
      <c r="D28" s="100">
        <v>26</v>
      </c>
      <c r="E28" s="104">
        <v>-604</v>
      </c>
      <c r="F28" s="92">
        <f>G28-E28</f>
        <v>-1067</v>
      </c>
      <c r="G28" s="12">
        <f>H28-D28</f>
        <v>-1671</v>
      </c>
      <c r="H28" s="31">
        <v>-1645</v>
      </c>
      <c r="I28" s="114">
        <v>601</v>
      </c>
      <c r="J28" s="103">
        <f>K28-I28</f>
        <v>718</v>
      </c>
      <c r="K28" s="115">
        <v>1319</v>
      </c>
      <c r="L28" s="103">
        <v>697</v>
      </c>
      <c r="M28" s="103">
        <f>N28-L28</f>
        <v>-1014</v>
      </c>
      <c r="N28" s="18">
        <f>O28-K28</f>
        <v>-317</v>
      </c>
      <c r="O28" s="116">
        <v>1002</v>
      </c>
    </row>
    <row r="29" spans="1:15" ht="40" customHeight="1" thickBot="1" x14ac:dyDescent="0.6">
      <c r="A29" s="38" t="s">
        <v>14</v>
      </c>
      <c r="B29" s="108">
        <v>0.02</v>
      </c>
      <c r="C29" s="39">
        <f>C28/C27</f>
        <v>-1.7679164689131468E-2</v>
      </c>
      <c r="D29" s="108">
        <v>2E-3</v>
      </c>
      <c r="E29" s="109">
        <f>E28/E27</f>
        <v>-6.3834284506446834E-2</v>
      </c>
      <c r="F29" s="39">
        <f t="shared" ref="F29" si="10">F28/F27</f>
        <v>-0.12328134026574235</v>
      </c>
      <c r="G29" s="33">
        <f>G28/G27</f>
        <v>-9.2233813545288951E-2</v>
      </c>
      <c r="H29" s="34">
        <f>H28/H27</f>
        <v>-4.6629627529905321E-2</v>
      </c>
      <c r="I29" s="117">
        <f>I28/I27</f>
        <v>6.2571577303487766E-2</v>
      </c>
      <c r="J29" s="39">
        <f t="shared" ref="J29" si="11">J28/J27</f>
        <v>8.4769775678866593E-2</v>
      </c>
      <c r="K29" s="109">
        <f>K28/K27</f>
        <v>7.2973720608575376E-2</v>
      </c>
      <c r="L29" s="39">
        <f t="shared" ref="L29" si="12">L28/L27</f>
        <v>7.0099567534949211E-2</v>
      </c>
      <c r="M29" s="39">
        <f>M28/M27</f>
        <v>-0.12415819762458676</v>
      </c>
      <c r="N29" s="39">
        <f>N28/N27</f>
        <v>-1.7504141358365543E-2</v>
      </c>
      <c r="O29" s="118">
        <v>2.8000000000000001E-2</v>
      </c>
    </row>
    <row r="30" spans="1:15" ht="20.149999999999999" customHeight="1" thickBot="1" x14ac:dyDescent="0.6">
      <c r="A30" s="226" t="s">
        <v>22</v>
      </c>
      <c r="B30" s="227"/>
      <c r="C30" s="227"/>
      <c r="D30" s="227"/>
      <c r="E30" s="227"/>
      <c r="F30" s="227"/>
      <c r="G30" s="227"/>
      <c r="H30" s="227"/>
      <c r="I30" s="227"/>
      <c r="J30" s="227"/>
      <c r="K30" s="227"/>
      <c r="L30" s="227"/>
      <c r="M30" s="227"/>
      <c r="N30" s="227"/>
      <c r="O30" s="228"/>
    </row>
    <row r="31" spans="1:15" ht="40" customHeight="1" x14ac:dyDescent="0.55000000000000004">
      <c r="A31" s="36" t="s">
        <v>12</v>
      </c>
      <c r="B31" s="93">
        <v>8735</v>
      </c>
      <c r="C31" s="92">
        <f>D31-B31</f>
        <v>10906</v>
      </c>
      <c r="D31" s="93">
        <v>19641</v>
      </c>
      <c r="E31" s="94">
        <v>12227</v>
      </c>
      <c r="F31" s="92">
        <f>G31-E31</f>
        <v>11143</v>
      </c>
      <c r="G31" s="12">
        <f>H31-D31</f>
        <v>23370</v>
      </c>
      <c r="H31" s="28">
        <v>43011</v>
      </c>
      <c r="I31" s="95">
        <v>12124</v>
      </c>
      <c r="J31" s="96">
        <f>K31-I31</f>
        <v>16173</v>
      </c>
      <c r="K31" s="97">
        <v>28297</v>
      </c>
      <c r="L31" s="96">
        <v>16577</v>
      </c>
      <c r="M31" s="96">
        <f>N31-L31</f>
        <v>15431</v>
      </c>
      <c r="N31" s="29">
        <f>O31-K31</f>
        <v>32008</v>
      </c>
      <c r="O31" s="113">
        <v>60305</v>
      </c>
    </row>
    <row r="32" spans="1:15" ht="40" customHeight="1" x14ac:dyDescent="0.55000000000000004">
      <c r="A32" s="37" t="s">
        <v>13</v>
      </c>
      <c r="B32" s="100">
        <v>1852</v>
      </c>
      <c r="C32" s="92">
        <f>D32-B32</f>
        <v>1770</v>
      </c>
      <c r="D32" s="100">
        <v>3622</v>
      </c>
      <c r="E32" s="101">
        <v>2789</v>
      </c>
      <c r="F32" s="92">
        <f>G32-E32</f>
        <v>988</v>
      </c>
      <c r="G32" s="12">
        <f>H32-D32</f>
        <v>3777</v>
      </c>
      <c r="H32" s="31">
        <v>7399</v>
      </c>
      <c r="I32" s="102">
        <v>3026</v>
      </c>
      <c r="J32" s="103">
        <f>K32-I32</f>
        <v>4800</v>
      </c>
      <c r="K32" s="101">
        <v>7826</v>
      </c>
      <c r="L32" s="103">
        <v>5092</v>
      </c>
      <c r="M32" s="103">
        <f>N32-L32</f>
        <v>2443</v>
      </c>
      <c r="N32" s="18">
        <f>O32-K32</f>
        <v>7535</v>
      </c>
      <c r="O32" s="116">
        <v>15361</v>
      </c>
    </row>
    <row r="33" spans="1:15" ht="40" customHeight="1" thickBot="1" x14ac:dyDescent="0.6">
      <c r="A33" s="38" t="s">
        <v>14</v>
      </c>
      <c r="B33" s="122">
        <v>0.19700000000000001</v>
      </c>
      <c r="C33" s="35">
        <f>C32/C31</f>
        <v>0.16229598386209426</v>
      </c>
      <c r="D33" s="122">
        <v>0.184</v>
      </c>
      <c r="E33" s="111">
        <f>E32/E31</f>
        <v>0.228101742046291</v>
      </c>
      <c r="F33" s="35">
        <f t="shared" ref="F33" si="13">F32/F31</f>
        <v>8.8665529929103468E-2</v>
      </c>
      <c r="G33" s="40">
        <f>G32/G31</f>
        <v>0.16161745827984594</v>
      </c>
      <c r="H33" s="41">
        <f>H32/H31</f>
        <v>0.1720257608518751</v>
      </c>
      <c r="I33" s="110">
        <f>I32/I31</f>
        <v>0.24958759485318377</v>
      </c>
      <c r="J33" s="35">
        <f t="shared" ref="J33" si="14">J32/J31</f>
        <v>0.29679094787608978</v>
      </c>
      <c r="K33" s="111">
        <f>K32/K31</f>
        <v>0.27656642046860092</v>
      </c>
      <c r="L33" s="35">
        <f t="shared" ref="L33" si="15">L32/L31</f>
        <v>0.30717258852627133</v>
      </c>
      <c r="M33" s="35">
        <f>M32/M31</f>
        <v>0.15831767221826193</v>
      </c>
      <c r="N33" s="35">
        <f>N32/N31</f>
        <v>0.23540989752561858</v>
      </c>
      <c r="O33" s="123">
        <v>0.255</v>
      </c>
    </row>
  </sheetData>
  <mergeCells count="11">
    <mergeCell ref="A12:A13"/>
    <mergeCell ref="B12:H12"/>
    <mergeCell ref="I12:O12"/>
    <mergeCell ref="B3:H3"/>
    <mergeCell ref="I3:O3"/>
    <mergeCell ref="A3:A4"/>
    <mergeCell ref="A14:O14"/>
    <mergeCell ref="A18:O18"/>
    <mergeCell ref="A22:O22"/>
    <mergeCell ref="A26:O26"/>
    <mergeCell ref="A30:O30"/>
  </mergeCells>
  <phoneticPr fontId="2"/>
  <printOptions horizontalCentered="1"/>
  <pageMargins left="0" right="0" top="0.39370078740157483" bottom="0" header="0" footer="0"/>
  <pageSetup paperSize="9" scale="51" fitToHeight="0" orientation="portrait" verticalDpi="0" r:id="rId1"/>
  <headerFooter>
    <oddHeader>&amp;L&amp;"BIZ UDPゴシック,標準"&amp;F</oddHeader>
    <oddFooter xml:space="preserve">&amp;C&amp;"BIZ UDPゴシック,標準"&amp;P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32"/>
  <sheetViews>
    <sheetView view="pageBreakPreview" zoomScale="60" zoomScaleNormal="60" workbookViewId="0">
      <selection activeCell="E40" sqref="E40"/>
    </sheetView>
  </sheetViews>
  <sheetFormatPr defaultRowHeight="18" x14ac:dyDescent="0.55000000000000004"/>
  <cols>
    <col min="1" max="1" width="27.58203125" customWidth="1"/>
    <col min="2" max="15" width="10.58203125" customWidth="1"/>
  </cols>
  <sheetData>
    <row r="1" spans="1:15" x14ac:dyDescent="0.55000000000000004">
      <c r="A1" s="4" t="s">
        <v>23</v>
      </c>
    </row>
    <row r="2" spans="1:15" ht="18.5" thickBot="1" x14ac:dyDescent="0.6">
      <c r="A2" s="4" t="s">
        <v>24</v>
      </c>
    </row>
    <row r="3" spans="1:15" x14ac:dyDescent="0.55000000000000004">
      <c r="A3" s="229" t="s">
        <v>2</v>
      </c>
      <c r="B3" s="231" t="s">
        <v>3</v>
      </c>
      <c r="C3" s="232"/>
      <c r="D3" s="232"/>
      <c r="E3" s="232"/>
      <c r="F3" s="232"/>
      <c r="G3" s="232"/>
      <c r="H3" s="232"/>
      <c r="I3" s="233" t="s">
        <v>4</v>
      </c>
      <c r="J3" s="233"/>
      <c r="K3" s="233"/>
      <c r="L3" s="233"/>
      <c r="M3" s="233"/>
      <c r="N3" s="233"/>
      <c r="O3" s="234"/>
    </row>
    <row r="4" spans="1:15" ht="18.5" thickBot="1" x14ac:dyDescent="0.6">
      <c r="A4" s="230"/>
      <c r="B4" s="8" t="s">
        <v>5</v>
      </c>
      <c r="C4" s="7" t="s">
        <v>6</v>
      </c>
      <c r="D4" s="7" t="s">
        <v>7</v>
      </c>
      <c r="E4" s="7" t="s">
        <v>8</v>
      </c>
      <c r="F4" s="7" t="s">
        <v>9</v>
      </c>
      <c r="G4" s="7" t="s">
        <v>10</v>
      </c>
      <c r="H4" s="7" t="s">
        <v>11</v>
      </c>
      <c r="I4" s="7" t="s">
        <v>5</v>
      </c>
      <c r="J4" s="7" t="s">
        <v>6</v>
      </c>
      <c r="K4" s="7" t="s">
        <v>7</v>
      </c>
      <c r="L4" s="7" t="s">
        <v>8</v>
      </c>
      <c r="M4" s="7" t="s">
        <v>9</v>
      </c>
      <c r="N4" s="7" t="s">
        <v>10</v>
      </c>
      <c r="O4" s="9" t="s">
        <v>11</v>
      </c>
    </row>
    <row r="5" spans="1:15" ht="18.5" thickBot="1" x14ac:dyDescent="0.6">
      <c r="A5" s="245" t="s">
        <v>25</v>
      </c>
      <c r="B5" s="246"/>
      <c r="C5" s="246"/>
      <c r="D5" s="246"/>
      <c r="E5" s="246"/>
      <c r="F5" s="246"/>
      <c r="G5" s="246"/>
      <c r="H5" s="246"/>
      <c r="I5" s="246"/>
      <c r="J5" s="246"/>
      <c r="K5" s="246"/>
      <c r="L5" s="246"/>
      <c r="M5" s="246"/>
      <c r="N5" s="246"/>
      <c r="O5" s="247"/>
    </row>
    <row r="6" spans="1:15" ht="40" customHeight="1" x14ac:dyDescent="0.55000000000000004">
      <c r="A6" s="42" t="s">
        <v>12</v>
      </c>
      <c r="B6" s="218">
        <v>26933</v>
      </c>
      <c r="C6" s="43">
        <f>D6-B6</f>
        <v>29570</v>
      </c>
      <c r="D6" s="43">
        <v>56503</v>
      </c>
      <c r="E6" s="43">
        <f>89154-D6</f>
        <v>32651</v>
      </c>
      <c r="F6" s="43">
        <f>G6-E6</f>
        <v>34248</v>
      </c>
      <c r="G6" s="43">
        <f>H6-D6</f>
        <v>66899</v>
      </c>
      <c r="H6" s="43">
        <v>123402</v>
      </c>
      <c r="I6" s="43">
        <v>36356</v>
      </c>
      <c r="J6" s="43">
        <f>K6-I6</f>
        <v>32755</v>
      </c>
      <c r="K6" s="43">
        <v>69111</v>
      </c>
      <c r="L6" s="43">
        <f>101942-K6</f>
        <v>32831</v>
      </c>
      <c r="M6" s="92">
        <f>N6-L6</f>
        <v>33907</v>
      </c>
      <c r="N6" s="44">
        <f>O6-K6</f>
        <v>66738</v>
      </c>
      <c r="O6" s="45">
        <v>135849</v>
      </c>
    </row>
    <row r="7" spans="1:15" ht="40" customHeight="1" x14ac:dyDescent="0.55000000000000004">
      <c r="A7" s="46" t="s">
        <v>13</v>
      </c>
      <c r="B7" s="219">
        <v>1447</v>
      </c>
      <c r="C7" s="47">
        <f>D7-B7</f>
        <v>1639</v>
      </c>
      <c r="D7" s="103">
        <v>3086</v>
      </c>
      <c r="E7" s="105">
        <f>4316-D7</f>
        <v>1230</v>
      </c>
      <c r="F7" s="47">
        <f>G7-E7</f>
        <v>1730</v>
      </c>
      <c r="G7" s="47">
        <f>H7-D7</f>
        <v>2960</v>
      </c>
      <c r="H7" s="47">
        <v>6046</v>
      </c>
      <c r="I7" s="105">
        <v>4721</v>
      </c>
      <c r="J7" s="47">
        <f>K7-I7</f>
        <v>3289</v>
      </c>
      <c r="K7" s="103">
        <v>8010</v>
      </c>
      <c r="L7" s="105">
        <f>11229-K7</f>
        <v>3219</v>
      </c>
      <c r="M7" s="103">
        <f>N7-L7</f>
        <v>1568</v>
      </c>
      <c r="N7" s="48">
        <f>O7-K7</f>
        <v>4787</v>
      </c>
      <c r="O7" s="49">
        <v>12797</v>
      </c>
    </row>
    <row r="8" spans="1:15" ht="40" customHeight="1" thickBot="1" x14ac:dyDescent="0.6">
      <c r="A8" s="50" t="s">
        <v>14</v>
      </c>
      <c r="B8" s="150">
        <f>B7/B6</f>
        <v>5.3725912449411502E-2</v>
      </c>
      <c r="C8" s="39">
        <f>C7/C6</f>
        <v>5.5427798444369292E-2</v>
      </c>
      <c r="D8" s="39">
        <v>5.5E-2</v>
      </c>
      <c r="E8" s="39">
        <f>E7/E6</f>
        <v>3.7671127989954367E-2</v>
      </c>
      <c r="F8" s="39">
        <f t="shared" ref="F8" si="0">F7/F6</f>
        <v>5.0513898621817335E-2</v>
      </c>
      <c r="G8" s="39">
        <f>G7/G6</f>
        <v>4.42458033752373E-2</v>
      </c>
      <c r="H8" s="39">
        <f>H7/H6</f>
        <v>4.8994343689729505E-2</v>
      </c>
      <c r="I8" s="39">
        <f>I7/I6</f>
        <v>0.12985476950159533</v>
      </c>
      <c r="J8" s="39">
        <f t="shared" ref="J8" si="1">J7/J6</f>
        <v>0.10041215081666921</v>
      </c>
      <c r="K8" s="39">
        <f>K7/K6</f>
        <v>0.11590050787863003</v>
      </c>
      <c r="L8" s="39">
        <f>L7/L6</f>
        <v>9.804757698516646E-2</v>
      </c>
      <c r="M8" s="39">
        <f>M7/M6</f>
        <v>4.6244138378505911E-2</v>
      </c>
      <c r="N8" s="39">
        <f>N7/N6</f>
        <v>7.1728250771674315E-2</v>
      </c>
      <c r="O8" s="51">
        <v>9.4E-2</v>
      </c>
    </row>
    <row r="9" spans="1:15" ht="20.149999999999999" customHeight="1" thickBot="1" x14ac:dyDescent="0.6">
      <c r="A9" s="240" t="s">
        <v>26</v>
      </c>
      <c r="B9" s="243"/>
      <c r="C9" s="243"/>
      <c r="D9" s="243"/>
      <c r="E9" s="243"/>
      <c r="F9" s="243"/>
      <c r="G9" s="243"/>
      <c r="H9" s="243"/>
      <c r="I9" s="243"/>
      <c r="J9" s="243"/>
      <c r="K9" s="243"/>
      <c r="L9" s="243"/>
      <c r="M9" s="243"/>
      <c r="N9" s="243"/>
      <c r="O9" s="244"/>
    </row>
    <row r="10" spans="1:15" ht="40" customHeight="1" x14ac:dyDescent="0.55000000000000004">
      <c r="A10" s="42" t="s">
        <v>12</v>
      </c>
      <c r="B10" s="220">
        <v>21112</v>
      </c>
      <c r="C10" s="43">
        <f>D10-B10</f>
        <v>26519</v>
      </c>
      <c r="D10" s="43">
        <v>47631</v>
      </c>
      <c r="E10" s="44">
        <f>75656-D10</f>
        <v>28025</v>
      </c>
      <c r="F10" s="43">
        <f>G10-E10</f>
        <v>29675</v>
      </c>
      <c r="G10" s="43">
        <f>H10-D10</f>
        <v>57700</v>
      </c>
      <c r="H10" s="43">
        <v>105331</v>
      </c>
      <c r="I10" s="44">
        <v>26154</v>
      </c>
      <c r="J10" s="43">
        <f>K10-I10</f>
        <v>29767</v>
      </c>
      <c r="K10" s="43">
        <v>55921</v>
      </c>
      <c r="L10" s="44">
        <f>87799-K10</f>
        <v>31878</v>
      </c>
      <c r="M10" s="92">
        <f>N10-L10</f>
        <v>26819</v>
      </c>
      <c r="N10" s="44">
        <f>O10-K10</f>
        <v>58697</v>
      </c>
      <c r="O10" s="45">
        <v>114618</v>
      </c>
    </row>
    <row r="11" spans="1:15" ht="40" customHeight="1" x14ac:dyDescent="0.55000000000000004">
      <c r="A11" s="46" t="s">
        <v>13</v>
      </c>
      <c r="B11" s="221">
        <v>-774</v>
      </c>
      <c r="C11" s="47">
        <f>D11-B11</f>
        <v>212</v>
      </c>
      <c r="D11" s="105">
        <v>-562</v>
      </c>
      <c r="E11" s="18">
        <f>1429-D11</f>
        <v>1991</v>
      </c>
      <c r="F11" s="103">
        <f>G11-E11</f>
        <v>-1403</v>
      </c>
      <c r="G11" s="47">
        <f>H11-D11</f>
        <v>588</v>
      </c>
      <c r="H11" s="47">
        <v>26</v>
      </c>
      <c r="I11" s="18">
        <v>-346</v>
      </c>
      <c r="J11" s="47">
        <f>K11-I11</f>
        <v>851</v>
      </c>
      <c r="K11" s="105">
        <v>505</v>
      </c>
      <c r="L11" s="18">
        <f>1900-K11</f>
        <v>1395</v>
      </c>
      <c r="M11" s="103">
        <f>N11-L11</f>
        <v>-459</v>
      </c>
      <c r="N11" s="48">
        <f>O11-K11</f>
        <v>936</v>
      </c>
      <c r="O11" s="49">
        <v>1441</v>
      </c>
    </row>
    <row r="12" spans="1:15" ht="40" customHeight="1" thickBot="1" x14ac:dyDescent="0.6">
      <c r="A12" s="50" t="s">
        <v>14</v>
      </c>
      <c r="B12" s="150">
        <v>-3.6999999999999998E-2</v>
      </c>
      <c r="C12" s="39">
        <f>C11/C10</f>
        <v>7.9942682604924771E-3</v>
      </c>
      <c r="D12" s="39">
        <f>D11/D10</f>
        <v>-1.1799038441351221E-2</v>
      </c>
      <c r="E12" s="39">
        <f>E11/E10</f>
        <v>7.1043710972346116E-2</v>
      </c>
      <c r="F12" s="39">
        <f t="shared" ref="F12" si="2">F11/F10</f>
        <v>-4.7278854254422915E-2</v>
      </c>
      <c r="G12" s="39">
        <f>G11/G10</f>
        <v>1.0190641247833622E-2</v>
      </c>
      <c r="H12" s="39">
        <f>H11/H10</f>
        <v>2.4684091103283935E-4</v>
      </c>
      <c r="I12" s="39">
        <f>I11/I10</f>
        <v>-1.3229333945094441E-2</v>
      </c>
      <c r="J12" s="39">
        <f t="shared" ref="J12" si="3">J11/J10</f>
        <v>2.8588705613598952E-2</v>
      </c>
      <c r="K12" s="39">
        <f>K11/K10</f>
        <v>9.0305967346792793E-3</v>
      </c>
      <c r="L12" s="39">
        <f>L11/L10</f>
        <v>4.3760587238848112E-2</v>
      </c>
      <c r="M12" s="39">
        <f>M11/M10</f>
        <v>-1.7114732092919201E-2</v>
      </c>
      <c r="N12" s="39">
        <f>N11/N10</f>
        <v>1.5946300492359063E-2</v>
      </c>
      <c r="O12" s="51">
        <f>O11/O10</f>
        <v>1.2572196339143939E-2</v>
      </c>
    </row>
    <row r="13" spans="1:15" ht="20.149999999999999" customHeight="1" thickBot="1" x14ac:dyDescent="0.6">
      <c r="A13" s="240" t="s">
        <v>27</v>
      </c>
      <c r="B13" s="243"/>
      <c r="C13" s="243"/>
      <c r="D13" s="243"/>
      <c r="E13" s="243"/>
      <c r="F13" s="243"/>
      <c r="G13" s="243"/>
      <c r="H13" s="243"/>
      <c r="I13" s="243"/>
      <c r="J13" s="243"/>
      <c r="K13" s="243"/>
      <c r="L13" s="243"/>
      <c r="M13" s="243"/>
      <c r="N13" s="243"/>
      <c r="O13" s="244"/>
    </row>
    <row r="14" spans="1:15" ht="40" customHeight="1" x14ac:dyDescent="0.55000000000000004">
      <c r="A14" s="42" t="s">
        <v>12</v>
      </c>
      <c r="B14" s="218">
        <v>30894</v>
      </c>
      <c r="C14" s="43">
        <f>D14-B14</f>
        <v>32136</v>
      </c>
      <c r="D14" s="43">
        <v>63030</v>
      </c>
      <c r="E14" s="43">
        <f>102479-D14</f>
        <v>39449</v>
      </c>
      <c r="F14" s="43">
        <f>G14-E14</f>
        <v>27620</v>
      </c>
      <c r="G14" s="43">
        <f>H14-D14</f>
        <v>67069</v>
      </c>
      <c r="H14" s="43">
        <v>130099</v>
      </c>
      <c r="I14" s="43">
        <v>44445</v>
      </c>
      <c r="J14" s="43">
        <f>K14-I14</f>
        <v>33934</v>
      </c>
      <c r="K14" s="43">
        <v>78379</v>
      </c>
      <c r="L14" s="43">
        <f>122212-K14</f>
        <v>43833</v>
      </c>
      <c r="M14" s="92">
        <f>N14-L14</f>
        <v>25770</v>
      </c>
      <c r="N14" s="44">
        <f>O14-K14</f>
        <v>69603</v>
      </c>
      <c r="O14" s="45">
        <v>147982</v>
      </c>
    </row>
    <row r="15" spans="1:15" ht="40" customHeight="1" x14ac:dyDescent="0.55000000000000004">
      <c r="A15" s="46" t="s">
        <v>13</v>
      </c>
      <c r="B15" s="219">
        <v>4052</v>
      </c>
      <c r="C15" s="47">
        <f>D15-B15</f>
        <v>3096</v>
      </c>
      <c r="D15" s="47">
        <v>7148</v>
      </c>
      <c r="E15" s="105">
        <f>12566-D15</f>
        <v>5418</v>
      </c>
      <c r="F15" s="103">
        <f>G15-E15</f>
        <v>-1312</v>
      </c>
      <c r="G15" s="47">
        <f>H15-D15</f>
        <v>4106</v>
      </c>
      <c r="H15" s="47">
        <v>11254</v>
      </c>
      <c r="I15" s="105">
        <v>6551</v>
      </c>
      <c r="J15" s="47">
        <f>K15-I15</f>
        <v>1402</v>
      </c>
      <c r="K15" s="47">
        <v>7953</v>
      </c>
      <c r="L15" s="105">
        <f>15274-K15</f>
        <v>7321</v>
      </c>
      <c r="M15" s="103">
        <f>N15-L15</f>
        <v>-1084</v>
      </c>
      <c r="N15" s="48">
        <f>O15-K15</f>
        <v>6237</v>
      </c>
      <c r="O15" s="49">
        <v>14190</v>
      </c>
    </row>
    <row r="16" spans="1:15" ht="40" customHeight="1" thickBot="1" x14ac:dyDescent="0.6">
      <c r="A16" s="50" t="s">
        <v>14</v>
      </c>
      <c r="B16" s="150">
        <f>B15/B14</f>
        <v>0.13115815368680003</v>
      </c>
      <c r="C16" s="39">
        <f>C15/C14</f>
        <v>9.6340552651232259E-2</v>
      </c>
      <c r="D16" s="39">
        <f>D15/D14</f>
        <v>0.11340631445343487</v>
      </c>
      <c r="E16" s="39">
        <f>E15/E14</f>
        <v>0.13734188445841466</v>
      </c>
      <c r="F16" s="39">
        <f t="shared" ref="F16" si="4">F15/F14</f>
        <v>-4.7501810282404057E-2</v>
      </c>
      <c r="G16" s="39">
        <f>G15/G14</f>
        <v>6.1220534076846231E-2</v>
      </c>
      <c r="H16" s="39">
        <f>H15/H14</f>
        <v>8.6503355137241639E-2</v>
      </c>
      <c r="I16" s="39">
        <f>I15/I14</f>
        <v>0.14739565755428058</v>
      </c>
      <c r="J16" s="39">
        <f t="shared" ref="J16" si="5">J15/J14</f>
        <v>4.1315494783992456E-2</v>
      </c>
      <c r="K16" s="39">
        <f>K15/K14</f>
        <v>0.10146850559461081</v>
      </c>
      <c r="L16" s="39">
        <f>L15/L14</f>
        <v>0.1670202815230534</v>
      </c>
      <c r="M16" s="39">
        <f>M15/M14</f>
        <v>-4.2064415987582461E-2</v>
      </c>
      <c r="N16" s="39">
        <f>N15/N14</f>
        <v>8.9608206542821436E-2</v>
      </c>
      <c r="O16" s="51">
        <f>O15/O14</f>
        <v>9.5890040680623317E-2</v>
      </c>
    </row>
    <row r="17" spans="1:15" ht="20.149999999999999" customHeight="1" thickBot="1" x14ac:dyDescent="0.6">
      <c r="A17" s="240" t="s">
        <v>28</v>
      </c>
      <c r="B17" s="243"/>
      <c r="C17" s="243"/>
      <c r="D17" s="243"/>
      <c r="E17" s="243"/>
      <c r="F17" s="243"/>
      <c r="G17" s="243"/>
      <c r="H17" s="243"/>
      <c r="I17" s="243"/>
      <c r="J17" s="243"/>
      <c r="K17" s="243"/>
      <c r="L17" s="243"/>
      <c r="M17" s="243"/>
      <c r="N17" s="243"/>
      <c r="O17" s="244"/>
    </row>
    <row r="18" spans="1:15" ht="40" customHeight="1" x14ac:dyDescent="0.55000000000000004">
      <c r="A18" s="42" t="s">
        <v>12</v>
      </c>
      <c r="B18" s="220">
        <v>13579</v>
      </c>
      <c r="C18" s="43">
        <f>D18-B18</f>
        <v>15366</v>
      </c>
      <c r="D18" s="43">
        <v>28945</v>
      </c>
      <c r="E18" s="44">
        <f>47649-D18</f>
        <v>18704</v>
      </c>
      <c r="F18" s="43">
        <f>G18-E18</f>
        <v>14762</v>
      </c>
      <c r="G18" s="43">
        <f>H18-D18</f>
        <v>33466</v>
      </c>
      <c r="H18" s="43">
        <v>62411</v>
      </c>
      <c r="I18" s="44">
        <v>19168</v>
      </c>
      <c r="J18" s="43">
        <f>K18-I18</f>
        <v>21245</v>
      </c>
      <c r="K18" s="43">
        <v>40413</v>
      </c>
      <c r="L18" s="44">
        <f>61393-K18</f>
        <v>20980</v>
      </c>
      <c r="M18" s="92">
        <f>N18-L18</f>
        <v>16223</v>
      </c>
      <c r="N18" s="44">
        <f>O18-K18</f>
        <v>37203</v>
      </c>
      <c r="O18" s="45">
        <v>77616</v>
      </c>
    </row>
    <row r="19" spans="1:15" ht="40" customHeight="1" x14ac:dyDescent="0.55000000000000004">
      <c r="A19" s="46" t="s">
        <v>13</v>
      </c>
      <c r="B19" s="221">
        <v>3621</v>
      </c>
      <c r="C19" s="47">
        <f>D19-B19</f>
        <v>2341</v>
      </c>
      <c r="D19" s="105">
        <v>5962</v>
      </c>
      <c r="E19" s="18">
        <f>10678-D19</f>
        <v>4716</v>
      </c>
      <c r="F19" s="103">
        <f>G19-E19</f>
        <v>-611</v>
      </c>
      <c r="G19" s="47">
        <f>H19-D19</f>
        <v>4105</v>
      </c>
      <c r="H19" s="47">
        <v>10067</v>
      </c>
      <c r="I19" s="18">
        <v>4508</v>
      </c>
      <c r="J19" s="47">
        <f>K19-I19</f>
        <v>3982</v>
      </c>
      <c r="K19" s="105">
        <v>8490</v>
      </c>
      <c r="L19" s="18">
        <f>13026-K19</f>
        <v>4536</v>
      </c>
      <c r="M19" s="103">
        <f>N19-L19</f>
        <v>81</v>
      </c>
      <c r="N19" s="48">
        <f>O19-K19</f>
        <v>4617</v>
      </c>
      <c r="O19" s="49">
        <v>13107</v>
      </c>
    </row>
    <row r="20" spans="1:15" ht="40" customHeight="1" thickBot="1" x14ac:dyDescent="0.6">
      <c r="A20" s="50" t="s">
        <v>14</v>
      </c>
      <c r="B20" s="150">
        <f>B19/B18</f>
        <v>0.26666175712497237</v>
      </c>
      <c r="C20" s="39">
        <f>C19/C18</f>
        <v>0.15234934270467265</v>
      </c>
      <c r="D20" s="39">
        <f>D19/D18</f>
        <v>0.20597685265158058</v>
      </c>
      <c r="E20" s="39">
        <f>E19/E18</f>
        <v>0.25213857998289135</v>
      </c>
      <c r="F20" s="39">
        <f t="shared" ref="F20" si="6">F19/F18</f>
        <v>-4.1390055548028722E-2</v>
      </c>
      <c r="G20" s="39">
        <f>G19/G18</f>
        <v>0.12266180601207195</v>
      </c>
      <c r="H20" s="39">
        <f>H19/H18</f>
        <v>0.16130169361170307</v>
      </c>
      <c r="I20" s="39">
        <f>I19/I18</f>
        <v>0.23518363939899833</v>
      </c>
      <c r="J20" s="39">
        <f t="shared" ref="J20" si="7">J19/J18</f>
        <v>0.1874323370204754</v>
      </c>
      <c r="K20" s="39">
        <f>K19/K18</f>
        <v>0.21008091455719693</v>
      </c>
      <c r="L20" s="39">
        <f>L19/L18</f>
        <v>0.21620591039084844</v>
      </c>
      <c r="M20" s="39">
        <f>M19/M18</f>
        <v>4.9929112987733464E-3</v>
      </c>
      <c r="N20" s="39">
        <f>N19/N18</f>
        <v>0.1241028949278284</v>
      </c>
      <c r="O20" s="51">
        <f>O19/O18</f>
        <v>0.16886982065553494</v>
      </c>
    </row>
    <row r="21" spans="1:15" ht="20.149999999999999" customHeight="1" thickBot="1" x14ac:dyDescent="0.6">
      <c r="A21" s="240" t="s">
        <v>29</v>
      </c>
      <c r="B21" s="243"/>
      <c r="C21" s="243"/>
      <c r="D21" s="243"/>
      <c r="E21" s="243"/>
      <c r="F21" s="243"/>
      <c r="G21" s="243"/>
      <c r="H21" s="243"/>
      <c r="I21" s="243"/>
      <c r="J21" s="243"/>
      <c r="K21" s="243"/>
      <c r="L21" s="243"/>
      <c r="M21" s="243"/>
      <c r="N21" s="243"/>
      <c r="O21" s="244"/>
    </row>
    <row r="22" spans="1:15" ht="40" customHeight="1" x14ac:dyDescent="0.55000000000000004">
      <c r="A22" s="42" t="s">
        <v>12</v>
      </c>
      <c r="B22" s="218">
        <v>7364</v>
      </c>
      <c r="C22" s="43">
        <f>D22-B22</f>
        <v>8080</v>
      </c>
      <c r="D22" s="43">
        <v>15444</v>
      </c>
      <c r="E22" s="43">
        <f>24841-D22</f>
        <v>9397</v>
      </c>
      <c r="F22" s="43">
        <f>G22-E22</f>
        <v>8451</v>
      </c>
      <c r="G22" s="43">
        <f>H22-D22</f>
        <v>17848</v>
      </c>
      <c r="H22" s="43">
        <v>33292</v>
      </c>
      <c r="I22" s="43">
        <v>11542</v>
      </c>
      <c r="J22" s="43">
        <f>K22-I22</f>
        <v>7341</v>
      </c>
      <c r="K22" s="43">
        <v>18883</v>
      </c>
      <c r="L22" s="43">
        <f>28805-K22</f>
        <v>9922</v>
      </c>
      <c r="M22" s="92">
        <f>N22-L22</f>
        <v>9655</v>
      </c>
      <c r="N22" s="44">
        <f>O22-K22</f>
        <v>19577</v>
      </c>
      <c r="O22" s="45">
        <v>38460</v>
      </c>
    </row>
    <row r="23" spans="1:15" ht="40" customHeight="1" thickBot="1" x14ac:dyDescent="0.6">
      <c r="A23" s="50" t="s">
        <v>13</v>
      </c>
      <c r="B23" s="219">
        <v>1447</v>
      </c>
      <c r="C23" s="47">
        <f>D23-B23</f>
        <v>1497</v>
      </c>
      <c r="D23" s="47">
        <v>2944</v>
      </c>
      <c r="E23" s="105">
        <f>4198-D23</f>
        <v>1254</v>
      </c>
      <c r="F23" s="47">
        <f>G23-E23</f>
        <v>1013</v>
      </c>
      <c r="G23" s="47">
        <f>H23-D23</f>
        <v>2267</v>
      </c>
      <c r="H23" s="47">
        <v>5211</v>
      </c>
      <c r="I23" s="105">
        <v>2081</v>
      </c>
      <c r="J23" s="47">
        <f>K23-I23</f>
        <v>1058</v>
      </c>
      <c r="K23" s="47">
        <v>3139</v>
      </c>
      <c r="L23" s="105">
        <f>4956-K23</f>
        <v>1817</v>
      </c>
      <c r="M23" s="103">
        <f>N23-L23</f>
        <v>1285</v>
      </c>
      <c r="N23" s="48">
        <f>O23-K23</f>
        <v>3102</v>
      </c>
      <c r="O23" s="49">
        <v>6241</v>
      </c>
    </row>
    <row r="24" spans="1:15" ht="40" customHeight="1" thickBot="1" x14ac:dyDescent="0.6">
      <c r="A24" s="52" t="s">
        <v>14</v>
      </c>
      <c r="B24" s="150">
        <v>0.19700000000000001</v>
      </c>
      <c r="C24" s="39">
        <f>C23/C22</f>
        <v>0.18527227722772277</v>
      </c>
      <c r="D24" s="39">
        <f>D23/D22</f>
        <v>0.19062419062419061</v>
      </c>
      <c r="E24" s="39">
        <f>E23/E22</f>
        <v>0.13344684473768223</v>
      </c>
      <c r="F24" s="39">
        <f t="shared" ref="F24" si="8">F23/F22</f>
        <v>0.11986747130517099</v>
      </c>
      <c r="G24" s="39">
        <f>G23/G22</f>
        <v>0.12701703272075301</v>
      </c>
      <c r="H24" s="39">
        <f>H23/H22</f>
        <v>0.15652408987144059</v>
      </c>
      <c r="I24" s="39">
        <f>I23/I22</f>
        <v>0.18029804193380697</v>
      </c>
      <c r="J24" s="39">
        <f t="shared" ref="J24" si="9">J23/J22</f>
        <v>0.14412205421604685</v>
      </c>
      <c r="K24" s="39">
        <f>K23/K22</f>
        <v>0.16623417889106604</v>
      </c>
      <c r="L24" s="39">
        <f>L23/L22</f>
        <v>0.1831284015319492</v>
      </c>
      <c r="M24" s="39">
        <f>M23/M22</f>
        <v>0.13309166235111342</v>
      </c>
      <c r="N24" s="39">
        <f>N23/N22</f>
        <v>0.15845124380650763</v>
      </c>
      <c r="O24" s="51">
        <f>O23/O22</f>
        <v>0.162272490899636</v>
      </c>
    </row>
    <row r="25" spans="1:15" ht="20.149999999999999" customHeight="1" thickBot="1" x14ac:dyDescent="0.6">
      <c r="A25" s="240" t="s">
        <v>30</v>
      </c>
      <c r="B25" s="243"/>
      <c r="C25" s="243"/>
      <c r="D25" s="243"/>
      <c r="E25" s="243"/>
      <c r="F25" s="243"/>
      <c r="G25" s="243"/>
      <c r="H25" s="243"/>
      <c r="I25" s="243"/>
      <c r="J25" s="243"/>
      <c r="K25" s="243"/>
      <c r="L25" s="243"/>
      <c r="M25" s="243"/>
      <c r="N25" s="243"/>
      <c r="O25" s="244"/>
    </row>
    <row r="26" spans="1:15" ht="40" customHeight="1" x14ac:dyDescent="0.55000000000000004">
      <c r="A26" s="42" t="s">
        <v>12</v>
      </c>
      <c r="B26" s="220">
        <v>3641</v>
      </c>
      <c r="C26" s="43">
        <f>D26-B26</f>
        <v>4415</v>
      </c>
      <c r="D26" s="43">
        <v>8056</v>
      </c>
      <c r="E26" s="44">
        <f>13895-D26</f>
        <v>5839</v>
      </c>
      <c r="F26" s="43">
        <f>G26-E26</f>
        <v>4553</v>
      </c>
      <c r="G26" s="43">
        <f>H26-D26</f>
        <v>10392</v>
      </c>
      <c r="H26" s="43">
        <v>18448</v>
      </c>
      <c r="I26" s="44">
        <v>6958</v>
      </c>
      <c r="J26" s="43">
        <f>K26-I26</f>
        <v>6485</v>
      </c>
      <c r="K26" s="43">
        <v>13443</v>
      </c>
      <c r="L26" s="44">
        <f>21446-K26</f>
        <v>8003</v>
      </c>
      <c r="M26" s="92">
        <f>N26-L26</f>
        <v>5677</v>
      </c>
      <c r="N26" s="44">
        <f>O26-K26</f>
        <v>13680</v>
      </c>
      <c r="O26" s="45">
        <v>27123</v>
      </c>
    </row>
    <row r="27" spans="1:15" ht="40" customHeight="1" x14ac:dyDescent="0.55000000000000004">
      <c r="A27" s="46" t="s">
        <v>13</v>
      </c>
      <c r="B27" s="221">
        <v>629</v>
      </c>
      <c r="C27" s="47">
        <f>D27-B27</f>
        <v>801</v>
      </c>
      <c r="D27" s="105">
        <v>1430</v>
      </c>
      <c r="E27" s="18">
        <f>2724-D27</f>
        <v>1294</v>
      </c>
      <c r="F27" s="47">
        <f>G27-E27</f>
        <v>260</v>
      </c>
      <c r="G27" s="47">
        <f>H27-D27</f>
        <v>1554</v>
      </c>
      <c r="H27" s="47">
        <v>2984</v>
      </c>
      <c r="I27" s="18">
        <v>1738</v>
      </c>
      <c r="J27" s="47">
        <f>K27-I27</f>
        <v>1232</v>
      </c>
      <c r="K27" s="105">
        <v>2970</v>
      </c>
      <c r="L27" s="18">
        <f>4818-K27</f>
        <v>1848</v>
      </c>
      <c r="M27" s="103">
        <f>N27-L27</f>
        <v>153</v>
      </c>
      <c r="N27" s="48">
        <f>O27-K27</f>
        <v>2001</v>
      </c>
      <c r="O27" s="49">
        <v>4971</v>
      </c>
    </row>
    <row r="28" spans="1:15" ht="40" customHeight="1" thickBot="1" x14ac:dyDescent="0.6">
      <c r="A28" s="50" t="s">
        <v>14</v>
      </c>
      <c r="B28" s="150">
        <f>B27/B26</f>
        <v>0.17275473770942049</v>
      </c>
      <c r="C28" s="39">
        <f>C27/C26</f>
        <v>0.18142695356738392</v>
      </c>
      <c r="D28" s="39">
        <f>D27/D26</f>
        <v>0.17750744786494538</v>
      </c>
      <c r="E28" s="39">
        <f>E27/E26</f>
        <v>0.22161328994690871</v>
      </c>
      <c r="F28" s="39">
        <f t="shared" ref="F28" si="10">F27/F26</f>
        <v>5.7105205359103885E-2</v>
      </c>
      <c r="G28" s="39">
        <f>G27/G26</f>
        <v>0.14953810623556582</v>
      </c>
      <c r="H28" s="39">
        <f>H27/H26</f>
        <v>0.16175195143104942</v>
      </c>
      <c r="I28" s="39">
        <f>I27/I26</f>
        <v>0.24978442081057775</v>
      </c>
      <c r="J28" s="39">
        <f t="shared" ref="J28" si="11">J27/J26</f>
        <v>0.18997686969930608</v>
      </c>
      <c r="K28" s="39">
        <f>K27/K26</f>
        <v>0.22093282749386298</v>
      </c>
      <c r="L28" s="39">
        <f>L27/L26</f>
        <v>0.23091340747219793</v>
      </c>
      <c r="M28" s="39">
        <f>M27/M26</f>
        <v>2.6950854324467147E-2</v>
      </c>
      <c r="N28" s="39">
        <f>N27/N26</f>
        <v>0.14627192982456141</v>
      </c>
      <c r="O28" s="51">
        <f>O27/O26</f>
        <v>0.18327618626258158</v>
      </c>
    </row>
    <row r="29" spans="1:15" ht="20.149999999999999" customHeight="1" thickBot="1" x14ac:dyDescent="0.6">
      <c r="A29" s="240" t="s">
        <v>31</v>
      </c>
      <c r="B29" s="241"/>
      <c r="C29" s="241"/>
      <c r="D29" s="241"/>
      <c r="E29" s="241"/>
      <c r="F29" s="241"/>
      <c r="G29" s="241"/>
      <c r="H29" s="241"/>
      <c r="I29" s="241"/>
      <c r="J29" s="241"/>
      <c r="K29" s="241"/>
      <c r="L29" s="241"/>
      <c r="M29" s="241"/>
      <c r="N29" s="241"/>
      <c r="O29" s="242"/>
    </row>
    <row r="30" spans="1:15" ht="40" customHeight="1" x14ac:dyDescent="0.55000000000000004">
      <c r="A30" s="42" t="s">
        <v>12</v>
      </c>
      <c r="B30" s="222">
        <v>9227</v>
      </c>
      <c r="C30" s="53">
        <f>D30-B30</f>
        <v>11059</v>
      </c>
      <c r="D30" s="53">
        <v>20286</v>
      </c>
      <c r="E30" s="53">
        <f>33424-D30</f>
        <v>13138</v>
      </c>
      <c r="F30" s="53">
        <f>G30-E30</f>
        <v>10206</v>
      </c>
      <c r="G30" s="53">
        <f>H30-D30</f>
        <v>23344</v>
      </c>
      <c r="H30" s="53">
        <v>43630</v>
      </c>
      <c r="I30" s="53">
        <v>13038</v>
      </c>
      <c r="J30" s="53">
        <f>K30-I30</f>
        <v>11171</v>
      </c>
      <c r="K30" s="53">
        <v>24209</v>
      </c>
      <c r="L30" s="53">
        <f>38611-K30</f>
        <v>14402</v>
      </c>
      <c r="M30" s="96">
        <f>N30-L30</f>
        <v>11233</v>
      </c>
      <c r="N30" s="54">
        <f>O30-K30</f>
        <v>25635</v>
      </c>
      <c r="O30" s="55">
        <v>49844</v>
      </c>
    </row>
    <row r="31" spans="1:15" ht="40" customHeight="1" thickBot="1" x14ac:dyDescent="0.6">
      <c r="A31" s="50" t="s">
        <v>13</v>
      </c>
      <c r="B31" s="219">
        <v>715</v>
      </c>
      <c r="C31" s="47">
        <f>D31-B31</f>
        <v>727</v>
      </c>
      <c r="D31" s="103">
        <v>1442</v>
      </c>
      <c r="E31" s="105">
        <f>3005-D31</f>
        <v>1563</v>
      </c>
      <c r="F31" s="47">
        <f>G31-E31</f>
        <v>641</v>
      </c>
      <c r="G31" s="47">
        <f>H31-D31</f>
        <v>2204</v>
      </c>
      <c r="H31" s="47">
        <v>3646</v>
      </c>
      <c r="I31" s="105">
        <v>1861</v>
      </c>
      <c r="J31" s="47">
        <f>K31-I31</f>
        <v>800</v>
      </c>
      <c r="K31" s="103">
        <v>2661</v>
      </c>
      <c r="L31" s="105">
        <f>4518-K31</f>
        <v>1857</v>
      </c>
      <c r="M31" s="103">
        <f>N31-L31</f>
        <v>-118</v>
      </c>
      <c r="N31" s="48">
        <f>O31-K31</f>
        <v>1739</v>
      </c>
      <c r="O31" s="49">
        <v>4400</v>
      </c>
    </row>
    <row r="32" spans="1:15" ht="40" customHeight="1" thickBot="1" x14ac:dyDescent="0.6">
      <c r="A32" s="52" t="s">
        <v>14</v>
      </c>
      <c r="B32" s="174">
        <f>B31/B30</f>
        <v>7.7489975073154874E-2</v>
      </c>
      <c r="C32" s="35">
        <f>C31/C30</f>
        <v>6.5738312686499684E-2</v>
      </c>
      <c r="D32" s="35">
        <f>D31/D30</f>
        <v>7.108350586611456E-2</v>
      </c>
      <c r="E32" s="35">
        <f>E31/E30</f>
        <v>0.11896787943370377</v>
      </c>
      <c r="F32" s="35">
        <f t="shared" ref="F32" si="12">F31/F30</f>
        <v>6.280619243582207E-2</v>
      </c>
      <c r="G32" s="35">
        <f>G31/G30</f>
        <v>9.4413982179575057E-2</v>
      </c>
      <c r="H32" s="35">
        <f>H31/H30</f>
        <v>8.3566353426541368E-2</v>
      </c>
      <c r="I32" s="35">
        <f>I31/I30</f>
        <v>0.14273661604540575</v>
      </c>
      <c r="J32" s="35">
        <f t="shared" ref="J32" si="13">J31/J30</f>
        <v>7.161400053710501E-2</v>
      </c>
      <c r="K32" s="35">
        <f>K31/K30</f>
        <v>0.10991779916559957</v>
      </c>
      <c r="L32" s="35">
        <f>L31/L30</f>
        <v>0.12894042494098043</v>
      </c>
      <c r="M32" s="35">
        <f>M31/M30</f>
        <v>-1.0504762752603935E-2</v>
      </c>
      <c r="N32" s="35">
        <f>N31/N30</f>
        <v>6.7836941681295101E-2</v>
      </c>
      <c r="O32" s="56">
        <f>O31/O30</f>
        <v>8.8275419308241718E-2</v>
      </c>
    </row>
  </sheetData>
  <mergeCells count="10">
    <mergeCell ref="A29:O29"/>
    <mergeCell ref="A25:O25"/>
    <mergeCell ref="A3:A4"/>
    <mergeCell ref="B3:H3"/>
    <mergeCell ref="I3:O3"/>
    <mergeCell ref="A21:O21"/>
    <mergeCell ref="A17:O17"/>
    <mergeCell ref="A13:O13"/>
    <mergeCell ref="A9:O9"/>
    <mergeCell ref="A5:O5"/>
  </mergeCells>
  <phoneticPr fontId="2"/>
  <printOptions horizontalCentered="1"/>
  <pageMargins left="0" right="0" top="0.39370078740157483" bottom="0" header="0" footer="0"/>
  <pageSetup paperSize="9" scale="52" fitToHeight="0" orientation="portrait" r:id="rId1"/>
  <headerFooter>
    <oddHeader>&amp;L&amp;"BIZ UDPゴシック,標準"&amp;F</oddHeader>
    <oddFooter xml:space="preserve">&amp;C&amp;"BIZ UDPゴシック,標準"&amp;P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36"/>
  <sheetViews>
    <sheetView view="pageBreakPreview" topLeftCell="A5" zoomScale="70" zoomScaleNormal="60" zoomScaleSheetLayoutView="70" workbookViewId="0">
      <selection activeCell="O1" sqref="O1:O1048576"/>
    </sheetView>
  </sheetViews>
  <sheetFormatPr defaultRowHeight="18" x14ac:dyDescent="0.55000000000000004"/>
  <cols>
    <col min="1" max="1" width="27.58203125" customWidth="1"/>
    <col min="2" max="12" width="10.58203125" customWidth="1"/>
  </cols>
  <sheetData>
    <row r="1" spans="1:12" x14ac:dyDescent="0.55000000000000004">
      <c r="A1" s="57" t="s">
        <v>32</v>
      </c>
      <c r="B1" s="58"/>
      <c r="C1" s="3"/>
      <c r="D1" s="3"/>
      <c r="E1" s="3"/>
      <c r="F1" s="3"/>
      <c r="G1" s="3"/>
      <c r="H1" s="3"/>
      <c r="I1" s="58"/>
      <c r="J1" s="58"/>
      <c r="K1" s="58"/>
      <c r="L1" s="58"/>
    </row>
    <row r="2" spans="1:12" ht="18.5" thickBot="1" x14ac:dyDescent="0.6">
      <c r="A2" s="57" t="s">
        <v>33</v>
      </c>
      <c r="C2" s="59" t="s">
        <v>34</v>
      </c>
      <c r="D2" s="58"/>
      <c r="E2" s="58"/>
      <c r="F2" s="58"/>
      <c r="G2" s="58"/>
      <c r="H2" s="59" t="s">
        <v>35</v>
      </c>
      <c r="I2" s="58"/>
      <c r="J2" s="58"/>
      <c r="K2" s="58"/>
      <c r="L2" s="58"/>
    </row>
    <row r="3" spans="1:12" ht="40" customHeight="1" thickBot="1" x14ac:dyDescent="0.6">
      <c r="A3" s="60" t="s">
        <v>2</v>
      </c>
      <c r="B3" s="61" t="s">
        <v>36</v>
      </c>
      <c r="C3" s="62" t="s">
        <v>37</v>
      </c>
      <c r="D3" s="62" t="s">
        <v>38</v>
      </c>
      <c r="E3" s="62" t="s">
        <v>39</v>
      </c>
      <c r="F3" s="62" t="s">
        <v>40</v>
      </c>
      <c r="G3" s="62" t="s">
        <v>41</v>
      </c>
      <c r="H3" s="62" t="s">
        <v>42</v>
      </c>
      <c r="I3" s="62" t="s">
        <v>43</v>
      </c>
      <c r="J3" s="62" t="s">
        <v>44</v>
      </c>
      <c r="K3" s="62" t="s">
        <v>45</v>
      </c>
      <c r="L3" s="63" t="s">
        <v>46</v>
      </c>
    </row>
    <row r="4" spans="1:12" ht="40" customHeight="1" x14ac:dyDescent="0.55000000000000004">
      <c r="A4" s="64" t="s">
        <v>12</v>
      </c>
      <c r="B4" s="65">
        <v>329464</v>
      </c>
      <c r="C4" s="66">
        <v>354051</v>
      </c>
      <c r="D4" s="66">
        <v>428496</v>
      </c>
      <c r="E4" s="66">
        <v>399107</v>
      </c>
      <c r="F4" s="66">
        <v>400157</v>
      </c>
      <c r="G4" s="66">
        <v>386662</v>
      </c>
      <c r="H4" s="66">
        <v>378050</v>
      </c>
      <c r="I4" s="66">
        <v>328784</v>
      </c>
      <c r="J4" s="66">
        <v>404082</v>
      </c>
      <c r="K4" s="66">
        <v>484601</v>
      </c>
      <c r="L4" s="45">
        <v>570463</v>
      </c>
    </row>
    <row r="5" spans="1:12" ht="40" customHeight="1" x14ac:dyDescent="0.55000000000000004">
      <c r="A5" s="37" t="s">
        <v>13</v>
      </c>
      <c r="B5" s="204">
        <v>26516</v>
      </c>
      <c r="C5" s="205">
        <v>30466</v>
      </c>
      <c r="D5" s="205">
        <v>27448</v>
      </c>
      <c r="E5" s="205">
        <v>25472</v>
      </c>
      <c r="F5" s="205">
        <v>19571</v>
      </c>
      <c r="G5" s="205">
        <v>10515</v>
      </c>
      <c r="H5" s="205">
        <v>10634</v>
      </c>
      <c r="I5" s="206">
        <v>-3953</v>
      </c>
      <c r="J5" s="205">
        <v>21945</v>
      </c>
      <c r="K5" s="205">
        <v>34002</v>
      </c>
      <c r="L5" s="49">
        <v>54215</v>
      </c>
    </row>
    <row r="6" spans="1:12" ht="40" customHeight="1" thickBot="1" x14ac:dyDescent="0.6">
      <c r="A6" s="38" t="s">
        <v>14</v>
      </c>
      <c r="B6" s="207">
        <v>0.08</v>
      </c>
      <c r="C6" s="208">
        <v>8.5999999999999993E-2</v>
      </c>
      <c r="D6" s="208">
        <v>6.4000000000000001E-2</v>
      </c>
      <c r="E6" s="208">
        <v>6.4000000000000001E-2</v>
      </c>
      <c r="F6" s="208">
        <v>4.9000000000000002E-2</v>
      </c>
      <c r="G6" s="208">
        <v>2.7194293724234604E-2</v>
      </c>
      <c r="H6" s="208">
        <v>2.8128554424017987E-2</v>
      </c>
      <c r="I6" s="208">
        <v>-1.2023091147987736E-2</v>
      </c>
      <c r="J6" s="208">
        <v>5.4308283962166096E-2</v>
      </c>
      <c r="K6" s="208">
        <v>7.0000000000000007E-2</v>
      </c>
      <c r="L6" s="67">
        <f>L5/L4</f>
        <v>9.5036838497851744E-2</v>
      </c>
    </row>
    <row r="8" spans="1:12" x14ac:dyDescent="0.55000000000000004">
      <c r="A8" s="209" t="s">
        <v>47</v>
      </c>
      <c r="B8" s="210"/>
      <c r="C8" s="3"/>
      <c r="D8" s="3"/>
      <c r="E8" s="3"/>
      <c r="F8" s="3"/>
      <c r="G8" s="3"/>
      <c r="H8" s="3"/>
      <c r="I8" s="210"/>
      <c r="J8" s="210"/>
      <c r="K8" s="210"/>
      <c r="L8" s="210"/>
    </row>
    <row r="9" spans="1:12" ht="18.5" thickBot="1" x14ac:dyDescent="0.6">
      <c r="A9" s="209" t="s">
        <v>48</v>
      </c>
      <c r="C9" s="211"/>
      <c r="D9" s="210"/>
      <c r="E9" s="210"/>
      <c r="F9" s="210"/>
      <c r="G9" s="211" t="s">
        <v>49</v>
      </c>
      <c r="H9" s="211" t="s">
        <v>49</v>
      </c>
      <c r="I9" s="210"/>
      <c r="J9" s="210"/>
      <c r="K9" s="210"/>
      <c r="L9" s="210"/>
    </row>
    <row r="10" spans="1:12" ht="40" customHeight="1" thickBot="1" x14ac:dyDescent="0.6">
      <c r="A10" s="60" t="s">
        <v>2</v>
      </c>
      <c r="B10" s="61" t="s">
        <v>36</v>
      </c>
      <c r="C10" s="62" t="s">
        <v>37</v>
      </c>
      <c r="D10" s="62" t="s">
        <v>38</v>
      </c>
      <c r="E10" s="62" t="s">
        <v>39</v>
      </c>
      <c r="F10" s="62" t="s">
        <v>40</v>
      </c>
      <c r="G10" s="62" t="s">
        <v>41</v>
      </c>
      <c r="H10" s="62" t="s">
        <v>42</v>
      </c>
      <c r="I10" s="62" t="s">
        <v>43</v>
      </c>
      <c r="J10" s="62" t="s">
        <v>44</v>
      </c>
      <c r="K10" s="62" t="s">
        <v>45</v>
      </c>
      <c r="L10" s="63" t="s">
        <v>46</v>
      </c>
    </row>
    <row r="11" spans="1:12" ht="20.149999999999999" customHeight="1" thickBot="1" x14ac:dyDescent="0.6">
      <c r="A11" s="253" t="s">
        <v>18</v>
      </c>
      <c r="B11" s="251"/>
      <c r="C11" s="251"/>
      <c r="D11" s="251"/>
      <c r="E11" s="251"/>
      <c r="F11" s="251"/>
      <c r="G11" s="251"/>
      <c r="H11" s="251"/>
      <c r="I11" s="251"/>
      <c r="J11" s="251"/>
      <c r="K11" s="251"/>
      <c r="L11" s="252"/>
    </row>
    <row r="12" spans="1:12" ht="40" customHeight="1" x14ac:dyDescent="0.55000000000000004">
      <c r="A12" s="36" t="s">
        <v>12</v>
      </c>
      <c r="B12" s="191" t="s">
        <v>50</v>
      </c>
      <c r="C12" s="192" t="s">
        <v>50</v>
      </c>
      <c r="D12" s="192" t="s">
        <v>50</v>
      </c>
      <c r="E12" s="192" t="s">
        <v>50</v>
      </c>
      <c r="F12" s="192" t="s">
        <v>50</v>
      </c>
      <c r="G12" s="212">
        <v>170765</v>
      </c>
      <c r="H12" s="212">
        <v>170150</v>
      </c>
      <c r="I12" s="212">
        <v>159033</v>
      </c>
      <c r="J12" s="212">
        <v>208268</v>
      </c>
      <c r="K12" s="212">
        <v>258272</v>
      </c>
      <c r="L12" s="68">
        <v>285929</v>
      </c>
    </row>
    <row r="13" spans="1:12" ht="40" customHeight="1" x14ac:dyDescent="0.55000000000000004">
      <c r="A13" s="37" t="s">
        <v>13</v>
      </c>
      <c r="B13" s="191" t="s">
        <v>50</v>
      </c>
      <c r="C13" s="192" t="s">
        <v>50</v>
      </c>
      <c r="D13" s="192" t="s">
        <v>50</v>
      </c>
      <c r="E13" s="192" t="s">
        <v>50</v>
      </c>
      <c r="F13" s="192" t="s">
        <v>50</v>
      </c>
      <c r="G13" s="144">
        <v>8568</v>
      </c>
      <c r="H13" s="144">
        <v>3964</v>
      </c>
      <c r="I13" s="144">
        <v>24903</v>
      </c>
      <c r="J13" s="144">
        <v>42634</v>
      </c>
      <c r="K13" s="144">
        <v>49181</v>
      </c>
      <c r="L13" s="69">
        <v>50018</v>
      </c>
    </row>
    <row r="14" spans="1:12" ht="40" customHeight="1" thickBot="1" x14ac:dyDescent="0.6">
      <c r="A14" s="38" t="s">
        <v>14</v>
      </c>
      <c r="B14" s="191" t="s">
        <v>50</v>
      </c>
      <c r="C14" s="192" t="s">
        <v>50</v>
      </c>
      <c r="D14" s="192" t="s">
        <v>50</v>
      </c>
      <c r="E14" s="192" t="s">
        <v>50</v>
      </c>
      <c r="F14" s="192" t="s">
        <v>50</v>
      </c>
      <c r="G14" s="111">
        <f t="shared" ref="G14:L14" si="0">G13/G12</f>
        <v>5.0174216027874564E-2</v>
      </c>
      <c r="H14" s="111">
        <f t="shared" si="0"/>
        <v>2.3297090802233324E-2</v>
      </c>
      <c r="I14" s="111">
        <f t="shared" si="0"/>
        <v>0.15659014166871027</v>
      </c>
      <c r="J14" s="111">
        <f t="shared" si="0"/>
        <v>0.20470739623946069</v>
      </c>
      <c r="K14" s="111">
        <f t="shared" si="0"/>
        <v>0.19042327468715153</v>
      </c>
      <c r="L14" s="70">
        <f t="shared" si="0"/>
        <v>0.17493153894848021</v>
      </c>
    </row>
    <row r="15" spans="1:12" ht="20.149999999999999" customHeight="1" thickBot="1" x14ac:dyDescent="0.6">
      <c r="A15" s="248" t="s">
        <v>19</v>
      </c>
      <c r="B15" s="251"/>
      <c r="C15" s="251"/>
      <c r="D15" s="251"/>
      <c r="E15" s="251"/>
      <c r="F15" s="251"/>
      <c r="G15" s="251"/>
      <c r="H15" s="251"/>
      <c r="I15" s="251"/>
      <c r="J15" s="251"/>
      <c r="K15" s="251"/>
      <c r="L15" s="252"/>
    </row>
    <row r="16" spans="1:12" ht="40" customHeight="1" x14ac:dyDescent="0.55000000000000004">
      <c r="A16" s="36" t="s">
        <v>12</v>
      </c>
      <c r="B16" s="191" t="s">
        <v>50</v>
      </c>
      <c r="C16" s="192" t="s">
        <v>50</v>
      </c>
      <c r="D16" s="192" t="s">
        <v>50</v>
      </c>
      <c r="E16" s="192" t="s">
        <v>50</v>
      </c>
      <c r="F16" s="192" t="s">
        <v>50</v>
      </c>
      <c r="G16" s="212">
        <v>41175</v>
      </c>
      <c r="H16" s="212">
        <v>41737</v>
      </c>
      <c r="I16" s="212">
        <v>33540</v>
      </c>
      <c r="J16" s="212">
        <v>41332</v>
      </c>
      <c r="K16" s="212">
        <v>54155</v>
      </c>
      <c r="L16" s="68">
        <v>72155</v>
      </c>
    </row>
    <row r="17" spans="1:12" ht="40" customHeight="1" x14ac:dyDescent="0.55000000000000004">
      <c r="A17" s="38" t="s">
        <v>13</v>
      </c>
      <c r="B17" s="191" t="s">
        <v>50</v>
      </c>
      <c r="C17" s="192" t="s">
        <v>50</v>
      </c>
      <c r="D17" s="192" t="s">
        <v>50</v>
      </c>
      <c r="E17" s="192" t="s">
        <v>50</v>
      </c>
      <c r="F17" s="192" t="s">
        <v>50</v>
      </c>
      <c r="G17" s="144">
        <v>-1123</v>
      </c>
      <c r="H17" s="144">
        <v>-1336</v>
      </c>
      <c r="I17" s="144">
        <v>1388</v>
      </c>
      <c r="J17" s="144">
        <v>5004</v>
      </c>
      <c r="K17" s="144">
        <v>9489</v>
      </c>
      <c r="L17" s="69">
        <v>12811</v>
      </c>
    </row>
    <row r="18" spans="1:12" ht="40" customHeight="1" x14ac:dyDescent="0.55000000000000004">
      <c r="A18" s="71" t="s">
        <v>14</v>
      </c>
      <c r="B18" s="191" t="s">
        <v>50</v>
      </c>
      <c r="C18" s="192" t="s">
        <v>50</v>
      </c>
      <c r="D18" s="192" t="s">
        <v>50</v>
      </c>
      <c r="E18" s="192" t="s">
        <v>50</v>
      </c>
      <c r="F18" s="192" t="s">
        <v>50</v>
      </c>
      <c r="G18" s="111">
        <f t="shared" ref="G18:L18" si="1">G17/G16</f>
        <v>-2.7273831208257437E-2</v>
      </c>
      <c r="H18" s="111">
        <f t="shared" si="1"/>
        <v>-3.2009967175407911E-2</v>
      </c>
      <c r="I18" s="111">
        <f t="shared" si="1"/>
        <v>4.1383422778771613E-2</v>
      </c>
      <c r="J18" s="111">
        <f t="shared" si="1"/>
        <v>0.12106842156198587</v>
      </c>
      <c r="K18" s="111">
        <f t="shared" si="1"/>
        <v>0.17521927799833811</v>
      </c>
      <c r="L18" s="70">
        <f t="shared" si="1"/>
        <v>0.17754833344882545</v>
      </c>
    </row>
    <row r="19" spans="1:12" ht="20.149999999999999" customHeight="1" x14ac:dyDescent="0.55000000000000004">
      <c r="A19" s="248" t="s">
        <v>20</v>
      </c>
      <c r="B19" s="251"/>
      <c r="C19" s="251"/>
      <c r="D19" s="251"/>
      <c r="E19" s="251"/>
      <c r="F19" s="251"/>
      <c r="G19" s="251"/>
      <c r="H19" s="251"/>
      <c r="I19" s="251"/>
      <c r="J19" s="251"/>
      <c r="K19" s="251"/>
      <c r="L19" s="252"/>
    </row>
    <row r="20" spans="1:12" ht="40" customHeight="1" x14ac:dyDescent="0.55000000000000004">
      <c r="A20" s="36" t="s">
        <v>12</v>
      </c>
      <c r="B20" s="191" t="s">
        <v>50</v>
      </c>
      <c r="C20" s="192" t="s">
        <v>50</v>
      </c>
      <c r="D20" s="192" t="s">
        <v>50</v>
      </c>
      <c r="E20" s="192" t="s">
        <v>50</v>
      </c>
      <c r="F20" s="192" t="s">
        <v>50</v>
      </c>
      <c r="G20" s="212">
        <v>39006</v>
      </c>
      <c r="H20" s="212">
        <v>34272</v>
      </c>
      <c r="I20" s="212">
        <v>29570</v>
      </c>
      <c r="J20" s="212">
        <v>33252</v>
      </c>
      <c r="K20" s="212">
        <v>43466</v>
      </c>
      <c r="L20" s="68">
        <v>59257</v>
      </c>
    </row>
    <row r="21" spans="1:12" ht="40" customHeight="1" x14ac:dyDescent="0.55000000000000004">
      <c r="A21" s="37" t="s">
        <v>13</v>
      </c>
      <c r="B21" s="191" t="s">
        <v>50</v>
      </c>
      <c r="C21" s="192" t="s">
        <v>50</v>
      </c>
      <c r="D21" s="192" t="s">
        <v>50</v>
      </c>
      <c r="E21" s="192" t="s">
        <v>50</v>
      </c>
      <c r="F21" s="192" t="s">
        <v>50</v>
      </c>
      <c r="G21" s="213">
        <v>192</v>
      </c>
      <c r="H21" s="213">
        <v>-405</v>
      </c>
      <c r="I21" s="144">
        <v>2051</v>
      </c>
      <c r="J21" s="144">
        <v>4310</v>
      </c>
      <c r="K21" s="144">
        <v>6425</v>
      </c>
      <c r="L21" s="69">
        <v>12047</v>
      </c>
    </row>
    <row r="22" spans="1:12" ht="40" customHeight="1" x14ac:dyDescent="0.55000000000000004">
      <c r="A22" s="38" t="s">
        <v>14</v>
      </c>
      <c r="B22" s="191" t="s">
        <v>50</v>
      </c>
      <c r="C22" s="192" t="s">
        <v>50</v>
      </c>
      <c r="D22" s="192" t="s">
        <v>50</v>
      </c>
      <c r="E22" s="192" t="s">
        <v>50</v>
      </c>
      <c r="F22" s="192" t="s">
        <v>50</v>
      </c>
      <c r="G22" s="111">
        <f t="shared" ref="G22:L22" si="2">G21/G20</f>
        <v>4.9223196431318261E-3</v>
      </c>
      <c r="H22" s="111">
        <f t="shared" si="2"/>
        <v>-1.1817226890756302E-2</v>
      </c>
      <c r="I22" s="111">
        <f t="shared" si="2"/>
        <v>6.9360838687859319E-2</v>
      </c>
      <c r="J22" s="111">
        <f t="shared" si="2"/>
        <v>0.12961626368338747</v>
      </c>
      <c r="K22" s="111">
        <f t="shared" si="2"/>
        <v>0.14781668430497399</v>
      </c>
      <c r="L22" s="70">
        <f t="shared" si="2"/>
        <v>0.20330087584589163</v>
      </c>
    </row>
    <row r="23" spans="1:12" ht="20.149999999999999" customHeight="1" x14ac:dyDescent="0.55000000000000004">
      <c r="A23" s="248" t="s">
        <v>21</v>
      </c>
      <c r="B23" s="251"/>
      <c r="C23" s="251"/>
      <c r="D23" s="251"/>
      <c r="E23" s="251"/>
      <c r="F23" s="251"/>
      <c r="G23" s="251"/>
      <c r="H23" s="251"/>
      <c r="I23" s="251"/>
      <c r="J23" s="251"/>
      <c r="K23" s="251"/>
      <c r="L23" s="252"/>
    </row>
    <row r="24" spans="1:12" ht="40" customHeight="1" x14ac:dyDescent="0.55000000000000004">
      <c r="A24" s="36" t="s">
        <v>12</v>
      </c>
      <c r="B24" s="191" t="s">
        <v>50</v>
      </c>
      <c r="C24" s="192" t="s">
        <v>50</v>
      </c>
      <c r="D24" s="192" t="s">
        <v>50</v>
      </c>
      <c r="E24" s="192" t="s">
        <v>50</v>
      </c>
      <c r="F24" s="192" t="s">
        <v>50</v>
      </c>
      <c r="G24" s="212">
        <v>45234</v>
      </c>
      <c r="H24" s="212">
        <v>39227</v>
      </c>
      <c r="I24" s="212">
        <v>29790</v>
      </c>
      <c r="J24" s="212">
        <v>34115</v>
      </c>
      <c r="K24" s="212">
        <v>35278</v>
      </c>
      <c r="L24" s="68">
        <v>36185</v>
      </c>
    </row>
    <row r="25" spans="1:12" ht="40" customHeight="1" x14ac:dyDescent="0.55000000000000004">
      <c r="A25" s="37" t="s">
        <v>13</v>
      </c>
      <c r="B25" s="191" t="s">
        <v>50</v>
      </c>
      <c r="C25" s="192" t="s">
        <v>50</v>
      </c>
      <c r="D25" s="192" t="s">
        <v>50</v>
      </c>
      <c r="E25" s="192" t="s">
        <v>50</v>
      </c>
      <c r="F25" s="192" t="s">
        <v>50</v>
      </c>
      <c r="G25" s="194" t="s">
        <v>51</v>
      </c>
      <c r="H25" s="194" t="s">
        <v>51</v>
      </c>
      <c r="I25" s="144">
        <v>-5381</v>
      </c>
      <c r="J25" s="213">
        <v>-175</v>
      </c>
      <c r="K25" s="144">
        <v>-1645</v>
      </c>
      <c r="L25" s="69">
        <v>1002</v>
      </c>
    </row>
    <row r="26" spans="1:12" ht="40" customHeight="1" thickBot="1" x14ac:dyDescent="0.6">
      <c r="A26" s="38" t="s">
        <v>14</v>
      </c>
      <c r="B26" s="191" t="s">
        <v>50</v>
      </c>
      <c r="C26" s="192" t="s">
        <v>50</v>
      </c>
      <c r="D26" s="192" t="s">
        <v>50</v>
      </c>
      <c r="E26" s="192" t="s">
        <v>50</v>
      </c>
      <c r="F26" s="192" t="s">
        <v>50</v>
      </c>
      <c r="G26" s="202" t="s">
        <v>50</v>
      </c>
      <c r="H26" s="202" t="s">
        <v>50</v>
      </c>
      <c r="I26" s="111">
        <f>I25/I24</f>
        <v>-0.1806310842564619</v>
      </c>
      <c r="J26" s="111">
        <f>J25/J24</f>
        <v>-5.129708339440129E-3</v>
      </c>
      <c r="K26" s="111">
        <f>K25/K24</f>
        <v>-4.6629627529905321E-2</v>
      </c>
      <c r="L26" s="70">
        <f>L25/L24</f>
        <v>2.7691032195661186E-2</v>
      </c>
    </row>
    <row r="27" spans="1:12" ht="20.149999999999999" customHeight="1" thickBot="1" x14ac:dyDescent="0.6">
      <c r="A27" s="248" t="s">
        <v>22</v>
      </c>
      <c r="B27" s="249"/>
      <c r="C27" s="249"/>
      <c r="D27" s="249"/>
      <c r="E27" s="249"/>
      <c r="F27" s="249"/>
      <c r="G27" s="249"/>
      <c r="H27" s="249"/>
      <c r="I27" s="249"/>
      <c r="J27" s="249"/>
      <c r="K27" s="249"/>
      <c r="L27" s="250"/>
    </row>
    <row r="28" spans="1:12" ht="40" customHeight="1" x14ac:dyDescent="0.55000000000000004">
      <c r="A28" s="72" t="s">
        <v>12</v>
      </c>
      <c r="B28" s="214" t="s">
        <v>50</v>
      </c>
      <c r="C28" s="198" t="s">
        <v>50</v>
      </c>
      <c r="D28" s="198" t="s">
        <v>50</v>
      </c>
      <c r="E28" s="198" t="s">
        <v>50</v>
      </c>
      <c r="F28" s="198" t="s">
        <v>50</v>
      </c>
      <c r="G28" s="212">
        <v>42882</v>
      </c>
      <c r="H28" s="212">
        <v>45597</v>
      </c>
      <c r="I28" s="212">
        <v>33935</v>
      </c>
      <c r="J28" s="212">
        <v>38545</v>
      </c>
      <c r="K28" s="212">
        <v>43011</v>
      </c>
      <c r="L28" s="68">
        <v>60305</v>
      </c>
    </row>
    <row r="29" spans="1:12" ht="40" customHeight="1" x14ac:dyDescent="0.55000000000000004">
      <c r="A29" s="15" t="s">
        <v>13</v>
      </c>
      <c r="B29" s="215" t="s">
        <v>50</v>
      </c>
      <c r="C29" s="192" t="s">
        <v>50</v>
      </c>
      <c r="D29" s="192" t="s">
        <v>50</v>
      </c>
      <c r="E29" s="192" t="s">
        <v>50</v>
      </c>
      <c r="F29" s="192" t="s">
        <v>50</v>
      </c>
      <c r="G29" s="144">
        <v>7486</v>
      </c>
      <c r="H29" s="144">
        <v>8303</v>
      </c>
      <c r="I29" s="144">
        <v>3616</v>
      </c>
      <c r="J29" s="144">
        <v>4868</v>
      </c>
      <c r="K29" s="144">
        <v>7399</v>
      </c>
      <c r="L29" s="69">
        <v>15361</v>
      </c>
    </row>
    <row r="30" spans="1:12" ht="40" customHeight="1" thickBot="1" x14ac:dyDescent="0.6">
      <c r="A30" s="22" t="s">
        <v>14</v>
      </c>
      <c r="B30" s="216" t="s">
        <v>50</v>
      </c>
      <c r="C30" s="217" t="s">
        <v>50</v>
      </c>
      <c r="D30" s="217" t="s">
        <v>50</v>
      </c>
      <c r="E30" s="217" t="s">
        <v>50</v>
      </c>
      <c r="F30" s="217" t="s">
        <v>50</v>
      </c>
      <c r="G30" s="111">
        <f t="shared" ref="G30:L30" si="3">G29/G28</f>
        <v>0.17457208152604822</v>
      </c>
      <c r="H30" s="111">
        <f t="shared" si="3"/>
        <v>0.18209531328815493</v>
      </c>
      <c r="I30" s="111">
        <f t="shared" si="3"/>
        <v>0.10655665242375129</v>
      </c>
      <c r="J30" s="111">
        <f t="shared" si="3"/>
        <v>0.12629394214554418</v>
      </c>
      <c r="K30" s="111">
        <f t="shared" si="3"/>
        <v>0.1720257608518751</v>
      </c>
      <c r="L30" s="70">
        <f t="shared" si="3"/>
        <v>0.25472183069397231</v>
      </c>
    </row>
    <row r="32" spans="1:12" x14ac:dyDescent="0.55000000000000004">
      <c r="A32" s="254" t="s">
        <v>52</v>
      </c>
      <c r="B32" s="254"/>
      <c r="C32" s="254"/>
      <c r="D32" s="254"/>
      <c r="E32" s="254"/>
      <c r="F32" s="254"/>
      <c r="G32" s="254"/>
      <c r="H32" s="254"/>
      <c r="I32" s="254"/>
      <c r="J32" s="254"/>
      <c r="K32" s="254"/>
      <c r="L32" s="254"/>
    </row>
    <row r="33" spans="1:12" x14ac:dyDescent="0.55000000000000004">
      <c r="A33" s="254" t="s">
        <v>53</v>
      </c>
      <c r="B33" s="254"/>
      <c r="C33" s="254"/>
      <c r="D33" s="254"/>
      <c r="E33" s="254"/>
      <c r="F33" s="254"/>
      <c r="G33" s="254"/>
      <c r="H33" s="254"/>
      <c r="I33" s="254"/>
      <c r="J33" s="254"/>
      <c r="K33" s="254"/>
      <c r="L33" s="254"/>
    </row>
    <row r="34" spans="1:12" x14ac:dyDescent="0.55000000000000004">
      <c r="A34" s="255" t="s">
        <v>54</v>
      </c>
      <c r="B34" s="255"/>
      <c r="C34" s="255"/>
      <c r="D34" s="255"/>
      <c r="E34" s="255"/>
      <c r="F34" s="255"/>
      <c r="G34" s="255"/>
      <c r="H34" s="255"/>
      <c r="I34" s="255"/>
      <c r="J34" s="255"/>
      <c r="K34" s="255"/>
      <c r="L34" s="255"/>
    </row>
    <row r="35" spans="1:12" ht="30" customHeight="1" x14ac:dyDescent="0.55000000000000004">
      <c r="A35" s="256" t="s">
        <v>55</v>
      </c>
      <c r="B35" s="256"/>
      <c r="C35" s="256"/>
      <c r="D35" s="256"/>
      <c r="E35" s="256"/>
      <c r="F35" s="256"/>
      <c r="G35" s="256"/>
      <c r="H35" s="256"/>
      <c r="I35" s="256"/>
      <c r="J35" s="256"/>
      <c r="K35" s="256"/>
      <c r="L35" s="256"/>
    </row>
    <row r="36" spans="1:12" ht="36" customHeight="1" x14ac:dyDescent="0.55000000000000004">
      <c r="A36" s="256" t="s">
        <v>56</v>
      </c>
      <c r="B36" s="256"/>
      <c r="C36" s="256"/>
      <c r="D36" s="256"/>
      <c r="E36" s="256"/>
      <c r="F36" s="256"/>
      <c r="G36" s="256"/>
      <c r="H36" s="256"/>
      <c r="I36" s="256"/>
      <c r="J36" s="256"/>
      <c r="K36" s="256"/>
      <c r="L36" s="256"/>
    </row>
  </sheetData>
  <mergeCells count="10">
    <mergeCell ref="A32:L32"/>
    <mergeCell ref="A33:L33"/>
    <mergeCell ref="A34:L34"/>
    <mergeCell ref="A35:L35"/>
    <mergeCell ref="A36:L36"/>
    <mergeCell ref="A27:L27"/>
    <mergeCell ref="A23:L23"/>
    <mergeCell ref="A19:L19"/>
    <mergeCell ref="A15:L15"/>
    <mergeCell ref="A11:L11"/>
  </mergeCells>
  <phoneticPr fontId="2"/>
  <printOptions horizontalCentered="1"/>
  <pageMargins left="0" right="0" top="0.39370078740157483" bottom="0" header="0" footer="0"/>
  <pageSetup paperSize="9" scale="63" fitToHeight="0" orientation="portrait" r:id="rId1"/>
  <headerFooter>
    <oddHeader>&amp;L&amp;"BIZ UDPゴシック,標準"&amp;F</oddHeader>
    <oddFooter xml:space="preserve">&amp;C&amp;"BIZ UDPゴシック,標準"&amp;P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69"/>
  <sheetViews>
    <sheetView view="pageBreakPreview" zoomScale="70" zoomScaleNormal="60" zoomScaleSheetLayoutView="70" workbookViewId="0">
      <selection activeCell="O1" sqref="O1:P1048576"/>
    </sheetView>
  </sheetViews>
  <sheetFormatPr defaultRowHeight="18.75" customHeight="1" x14ac:dyDescent="0.55000000000000004"/>
  <cols>
    <col min="1" max="1" width="28.83203125" customWidth="1"/>
    <col min="2" max="12" width="10.58203125" customWidth="1"/>
  </cols>
  <sheetData>
    <row r="1" spans="1:12" ht="18" x14ac:dyDescent="0.55000000000000004">
      <c r="A1" s="57" t="s">
        <v>57</v>
      </c>
      <c r="B1" s="58"/>
      <c r="C1" s="3"/>
      <c r="D1" s="3"/>
      <c r="E1" s="3"/>
      <c r="F1" s="3"/>
      <c r="G1" s="3"/>
      <c r="H1" s="3"/>
      <c r="I1" s="58"/>
      <c r="J1" s="58"/>
      <c r="K1" s="58"/>
      <c r="L1" s="58"/>
    </row>
    <row r="2" spans="1:12" ht="18" x14ac:dyDescent="0.55000000000000004">
      <c r="A2" s="57" t="s">
        <v>58</v>
      </c>
      <c r="C2" s="59" t="s">
        <v>34</v>
      </c>
      <c r="D2" s="58"/>
      <c r="E2" s="58"/>
      <c r="F2" s="58"/>
      <c r="G2" s="58"/>
      <c r="H2" s="59" t="s">
        <v>35</v>
      </c>
      <c r="I2" s="58"/>
      <c r="J2" s="58"/>
      <c r="K2" s="58"/>
      <c r="L2" s="58"/>
    </row>
    <row r="3" spans="1:12" ht="40" customHeight="1" x14ac:dyDescent="0.55000000000000004">
      <c r="A3" s="73" t="s">
        <v>2</v>
      </c>
      <c r="B3" s="74" t="s">
        <v>59</v>
      </c>
      <c r="C3" s="75" t="s">
        <v>37</v>
      </c>
      <c r="D3" s="75" t="s">
        <v>38</v>
      </c>
      <c r="E3" s="75" t="s">
        <v>39</v>
      </c>
      <c r="F3" s="75" t="s">
        <v>40</v>
      </c>
      <c r="G3" s="75" t="s">
        <v>41</v>
      </c>
      <c r="H3" s="75" t="s">
        <v>42</v>
      </c>
      <c r="I3" s="75" t="s">
        <v>43</v>
      </c>
      <c r="J3" s="75" t="s">
        <v>44</v>
      </c>
      <c r="K3" s="75" t="s">
        <v>45</v>
      </c>
      <c r="L3" s="76" t="s">
        <v>46</v>
      </c>
    </row>
    <row r="4" spans="1:12" ht="20.149999999999999" customHeight="1" x14ac:dyDescent="0.55000000000000004">
      <c r="A4" s="248" t="s">
        <v>60</v>
      </c>
      <c r="B4" s="251"/>
      <c r="C4" s="251"/>
      <c r="D4" s="251"/>
      <c r="E4" s="251"/>
      <c r="F4" s="251"/>
      <c r="G4" s="251"/>
      <c r="H4" s="251"/>
      <c r="I4" s="251"/>
      <c r="J4" s="251"/>
      <c r="K4" s="251"/>
      <c r="L4" s="252"/>
    </row>
    <row r="5" spans="1:12" ht="40" customHeight="1" x14ac:dyDescent="0.55000000000000004">
      <c r="A5" s="77" t="s">
        <v>12</v>
      </c>
      <c r="B5" s="186">
        <v>119796</v>
      </c>
      <c r="C5" s="187">
        <v>82575</v>
      </c>
      <c r="D5" s="187">
        <v>122785</v>
      </c>
      <c r="E5" s="187">
        <v>119989</v>
      </c>
      <c r="F5" s="187">
        <v>119462</v>
      </c>
      <c r="G5" s="187">
        <v>118250</v>
      </c>
      <c r="H5" s="187">
        <v>120950</v>
      </c>
      <c r="I5" s="187">
        <v>94398</v>
      </c>
      <c r="J5" s="187">
        <v>109911</v>
      </c>
      <c r="K5" s="187">
        <v>123402</v>
      </c>
      <c r="L5" s="188">
        <v>135849</v>
      </c>
    </row>
    <row r="6" spans="1:12" ht="40" customHeight="1" x14ac:dyDescent="0.55000000000000004">
      <c r="A6" s="78" t="s">
        <v>13</v>
      </c>
      <c r="B6" s="142">
        <v>2937</v>
      </c>
      <c r="C6" s="144">
        <v>-714</v>
      </c>
      <c r="D6" s="144">
        <v>2291</v>
      </c>
      <c r="E6" s="144">
        <v>6281</v>
      </c>
      <c r="F6" s="144">
        <v>5886</v>
      </c>
      <c r="G6" s="144">
        <v>4035</v>
      </c>
      <c r="H6" s="144">
        <v>4895</v>
      </c>
      <c r="I6" s="144">
        <v>-3791</v>
      </c>
      <c r="J6" s="144">
        <v>1193</v>
      </c>
      <c r="K6" s="144">
        <v>6046</v>
      </c>
      <c r="L6" s="145">
        <v>12797</v>
      </c>
    </row>
    <row r="7" spans="1:12" ht="40" customHeight="1" x14ac:dyDescent="0.55000000000000004">
      <c r="A7" s="79" t="s">
        <v>14</v>
      </c>
      <c r="B7" s="189">
        <v>2.4518541593031306E-2</v>
      </c>
      <c r="C7" s="190">
        <v>-8.6537864311257984E-3</v>
      </c>
      <c r="D7" s="190">
        <v>1.8660573340438517E-2</v>
      </c>
      <c r="E7" s="190">
        <v>5.2354311349605054E-2</v>
      </c>
      <c r="F7" s="190">
        <v>4.9273829858260405E-2</v>
      </c>
      <c r="G7" s="190">
        <f>G6/G5</f>
        <v>3.4122621564482029E-2</v>
      </c>
      <c r="H7" s="190">
        <f>H6/H5</f>
        <v>4.0471269119470854E-2</v>
      </c>
      <c r="I7" s="190">
        <f>I6/I5</f>
        <v>-4.0159749147227697E-2</v>
      </c>
      <c r="J7" s="190">
        <v>1.0854236609620512E-2</v>
      </c>
      <c r="K7" s="190">
        <v>4.8994343689729505E-2</v>
      </c>
      <c r="L7" s="151">
        <f>L6/L5</f>
        <v>9.4200178138963114E-2</v>
      </c>
    </row>
    <row r="8" spans="1:12" ht="20.149999999999999" customHeight="1" x14ac:dyDescent="0.55000000000000004">
      <c r="A8" s="248" t="s">
        <v>61</v>
      </c>
      <c r="B8" s="251"/>
      <c r="C8" s="251"/>
      <c r="D8" s="251"/>
      <c r="E8" s="251"/>
      <c r="F8" s="251"/>
      <c r="G8" s="251"/>
      <c r="H8" s="251"/>
      <c r="I8" s="251"/>
      <c r="J8" s="251"/>
      <c r="K8" s="251"/>
      <c r="L8" s="252"/>
    </row>
    <row r="9" spans="1:12" ht="40" customHeight="1" x14ac:dyDescent="0.55000000000000004">
      <c r="A9" s="77" t="s">
        <v>12</v>
      </c>
      <c r="B9" s="191" t="s">
        <v>50</v>
      </c>
      <c r="C9" s="192" t="s">
        <v>50</v>
      </c>
      <c r="D9" s="192" t="s">
        <v>50</v>
      </c>
      <c r="E9" s="192" t="s">
        <v>50</v>
      </c>
      <c r="F9" s="192" t="s">
        <v>50</v>
      </c>
      <c r="G9" s="187">
        <v>79129</v>
      </c>
      <c r="H9" s="187">
        <v>78959</v>
      </c>
      <c r="I9" s="187">
        <v>65377</v>
      </c>
      <c r="J9" s="187">
        <v>86176</v>
      </c>
      <c r="K9" s="187">
        <v>105331</v>
      </c>
      <c r="L9" s="188">
        <v>114618</v>
      </c>
    </row>
    <row r="10" spans="1:12" ht="40" customHeight="1" x14ac:dyDescent="0.55000000000000004">
      <c r="A10" s="78" t="s">
        <v>13</v>
      </c>
      <c r="B10" s="193" t="s">
        <v>62</v>
      </c>
      <c r="C10" s="194" t="s">
        <v>62</v>
      </c>
      <c r="D10" s="194" t="s">
        <v>62</v>
      </c>
      <c r="E10" s="194" t="s">
        <v>62</v>
      </c>
      <c r="F10" s="194" t="s">
        <v>62</v>
      </c>
      <c r="G10" s="144">
        <v>-4108</v>
      </c>
      <c r="H10" s="144">
        <v>-5969</v>
      </c>
      <c r="I10" s="144">
        <v>-4548</v>
      </c>
      <c r="J10" s="144">
        <v>848</v>
      </c>
      <c r="K10" s="144">
        <v>26</v>
      </c>
      <c r="L10" s="145">
        <v>1441</v>
      </c>
    </row>
    <row r="11" spans="1:12" ht="40" customHeight="1" x14ac:dyDescent="0.55000000000000004">
      <c r="A11" s="79" t="s">
        <v>14</v>
      </c>
      <c r="B11" s="195" t="s">
        <v>50</v>
      </c>
      <c r="C11" s="196" t="s">
        <v>50</v>
      </c>
      <c r="D11" s="196" t="s">
        <v>50</v>
      </c>
      <c r="E11" s="196" t="s">
        <v>50</v>
      </c>
      <c r="F11" s="196" t="s">
        <v>50</v>
      </c>
      <c r="G11" s="190">
        <f>G10/G9</f>
        <v>-5.1915227034336334E-2</v>
      </c>
      <c r="H11" s="190">
        <f>H10/H9</f>
        <v>-7.5596195493863899E-2</v>
      </c>
      <c r="I11" s="190">
        <f>I10/I9</f>
        <v>-6.9565749422579801E-2</v>
      </c>
      <c r="J11" s="190">
        <v>9.8403267731154848E-3</v>
      </c>
      <c r="K11" s="190">
        <v>2.4684091103283935E-4</v>
      </c>
      <c r="L11" s="151">
        <f>L10/L9</f>
        <v>1.2572196339143939E-2</v>
      </c>
    </row>
    <row r="12" spans="1:12" ht="20.149999999999999" customHeight="1" x14ac:dyDescent="0.55000000000000004">
      <c r="A12" s="248" t="s">
        <v>63</v>
      </c>
      <c r="B12" s="251"/>
      <c r="C12" s="251"/>
      <c r="D12" s="251"/>
      <c r="E12" s="251"/>
      <c r="F12" s="251"/>
      <c r="G12" s="251"/>
      <c r="H12" s="251"/>
      <c r="I12" s="251"/>
      <c r="J12" s="251"/>
      <c r="K12" s="251"/>
      <c r="L12" s="252"/>
    </row>
    <row r="13" spans="1:12" ht="40" customHeight="1" x14ac:dyDescent="0.55000000000000004">
      <c r="A13" s="77" t="s">
        <v>12</v>
      </c>
      <c r="B13" s="186">
        <v>85235</v>
      </c>
      <c r="C13" s="187">
        <v>104791</v>
      </c>
      <c r="D13" s="187">
        <v>116022</v>
      </c>
      <c r="E13" s="187">
        <v>107601</v>
      </c>
      <c r="F13" s="187">
        <v>106290</v>
      </c>
      <c r="G13" s="187">
        <v>105683</v>
      </c>
      <c r="H13" s="187">
        <v>95605</v>
      </c>
      <c r="I13" s="187">
        <v>87342</v>
      </c>
      <c r="J13" s="187">
        <v>106604</v>
      </c>
      <c r="K13" s="187">
        <v>130099</v>
      </c>
      <c r="L13" s="188">
        <v>147982</v>
      </c>
    </row>
    <row r="14" spans="1:12" ht="40" customHeight="1" x14ac:dyDescent="0.55000000000000004">
      <c r="A14" s="78" t="s">
        <v>13</v>
      </c>
      <c r="B14" s="142">
        <v>7545</v>
      </c>
      <c r="C14" s="143">
        <v>8652</v>
      </c>
      <c r="D14" s="143">
        <v>10939</v>
      </c>
      <c r="E14" s="143">
        <v>11309</v>
      </c>
      <c r="F14" s="143">
        <v>8297</v>
      </c>
      <c r="G14" s="144">
        <v>5099</v>
      </c>
      <c r="H14" s="143">
        <v>2866</v>
      </c>
      <c r="I14" s="143">
        <v>4572</v>
      </c>
      <c r="J14" s="143">
        <v>10889</v>
      </c>
      <c r="K14" s="143">
        <v>11254</v>
      </c>
      <c r="L14" s="145">
        <v>14190</v>
      </c>
    </row>
    <row r="15" spans="1:12" ht="40" customHeight="1" x14ac:dyDescent="0.55000000000000004">
      <c r="A15" s="79" t="s">
        <v>14</v>
      </c>
      <c r="B15" s="189">
        <v>8.8523311589615086E-2</v>
      </c>
      <c r="C15" s="190">
        <v>8.2569830605726063E-2</v>
      </c>
      <c r="D15" s="190">
        <v>9.4286332785463917E-2</v>
      </c>
      <c r="E15" s="190">
        <v>0.1051043512355079</v>
      </c>
      <c r="F15" s="190">
        <v>7.8062279896638873E-2</v>
      </c>
      <c r="G15" s="190">
        <f>G14/G13</f>
        <v>4.8248062602310682E-2</v>
      </c>
      <c r="H15" s="190">
        <f>H14/H13</f>
        <v>2.9977511636420689E-2</v>
      </c>
      <c r="I15" s="190">
        <f>I14/I13</f>
        <v>5.234595040186852E-2</v>
      </c>
      <c r="J15" s="190">
        <v>0.10214438482608533</v>
      </c>
      <c r="K15" s="190">
        <v>8.6503355137241639E-2</v>
      </c>
      <c r="L15" s="151">
        <f>L14/L13</f>
        <v>9.5890040680623317E-2</v>
      </c>
    </row>
    <row r="16" spans="1:12" ht="20.149999999999999" customHeight="1" x14ac:dyDescent="0.55000000000000004">
      <c r="A16" s="248" t="s">
        <v>64</v>
      </c>
      <c r="B16" s="251"/>
      <c r="C16" s="251"/>
      <c r="D16" s="251"/>
      <c r="E16" s="251"/>
      <c r="F16" s="251"/>
      <c r="G16" s="251"/>
      <c r="H16" s="251"/>
      <c r="I16" s="251"/>
      <c r="J16" s="251"/>
      <c r="K16" s="251"/>
      <c r="L16" s="252"/>
    </row>
    <row r="17" spans="1:12" ht="40" customHeight="1" x14ac:dyDescent="0.55000000000000004">
      <c r="A17" s="77" t="s">
        <v>12</v>
      </c>
      <c r="B17" s="191" t="s">
        <v>50</v>
      </c>
      <c r="C17" s="192" t="s">
        <v>50</v>
      </c>
      <c r="D17" s="192" t="s">
        <v>50</v>
      </c>
      <c r="E17" s="192" t="s">
        <v>50</v>
      </c>
      <c r="F17" s="192" t="s">
        <v>50</v>
      </c>
      <c r="G17" s="187">
        <v>39690</v>
      </c>
      <c r="H17" s="187">
        <v>39448</v>
      </c>
      <c r="I17" s="187">
        <v>41118</v>
      </c>
      <c r="J17" s="187">
        <v>52593</v>
      </c>
      <c r="K17" s="187">
        <v>62411</v>
      </c>
      <c r="L17" s="188">
        <v>77616</v>
      </c>
    </row>
    <row r="18" spans="1:12" ht="40" customHeight="1" x14ac:dyDescent="0.55000000000000004">
      <c r="A18" s="79" t="s">
        <v>13</v>
      </c>
      <c r="B18" s="193" t="s">
        <v>62</v>
      </c>
      <c r="C18" s="194" t="s">
        <v>62</v>
      </c>
      <c r="D18" s="194" t="s">
        <v>62</v>
      </c>
      <c r="E18" s="194" t="s">
        <v>62</v>
      </c>
      <c r="F18" s="194" t="s">
        <v>62</v>
      </c>
      <c r="G18" s="144">
        <v>6253</v>
      </c>
      <c r="H18" s="143">
        <v>5398</v>
      </c>
      <c r="I18" s="143">
        <v>4305</v>
      </c>
      <c r="J18" s="143">
        <v>9147</v>
      </c>
      <c r="K18" s="143">
        <v>10067</v>
      </c>
      <c r="L18" s="145">
        <v>13107</v>
      </c>
    </row>
    <row r="19" spans="1:12" ht="40" customHeight="1" x14ac:dyDescent="0.55000000000000004">
      <c r="A19" s="80" t="s">
        <v>14</v>
      </c>
      <c r="B19" s="195" t="s">
        <v>50</v>
      </c>
      <c r="C19" s="196" t="s">
        <v>50</v>
      </c>
      <c r="D19" s="196" t="s">
        <v>50</v>
      </c>
      <c r="E19" s="196" t="s">
        <v>50</v>
      </c>
      <c r="F19" s="196" t="s">
        <v>50</v>
      </c>
      <c r="G19" s="190">
        <f>G18/G17</f>
        <v>0.15754598135550515</v>
      </c>
      <c r="H19" s="190">
        <f>H18/H17</f>
        <v>0.1368383694990874</v>
      </c>
      <c r="I19" s="190">
        <f>I18/I17</f>
        <v>0.10469867211440245</v>
      </c>
      <c r="J19" s="190">
        <v>0.17392048371456278</v>
      </c>
      <c r="K19" s="190">
        <v>0.16130169361170307</v>
      </c>
      <c r="L19" s="151">
        <f>L18/L17</f>
        <v>0.16886982065553494</v>
      </c>
    </row>
    <row r="20" spans="1:12" ht="20.149999999999999" customHeight="1" x14ac:dyDescent="0.55000000000000004">
      <c r="A20" s="248" t="s">
        <v>29</v>
      </c>
      <c r="B20" s="251"/>
      <c r="C20" s="251"/>
      <c r="D20" s="251"/>
      <c r="E20" s="251"/>
      <c r="F20" s="251"/>
      <c r="G20" s="251"/>
      <c r="H20" s="251"/>
      <c r="I20" s="251"/>
      <c r="J20" s="251"/>
      <c r="K20" s="251"/>
      <c r="L20" s="252"/>
    </row>
    <row r="21" spans="1:12" ht="40" customHeight="1" x14ac:dyDescent="0.55000000000000004">
      <c r="A21" s="77" t="s">
        <v>12</v>
      </c>
      <c r="B21" s="186">
        <v>15105</v>
      </c>
      <c r="C21" s="192" t="s">
        <v>50</v>
      </c>
      <c r="D21" s="192" t="s">
        <v>50</v>
      </c>
      <c r="E21" s="192" t="s">
        <v>50</v>
      </c>
      <c r="F21" s="192" t="s">
        <v>50</v>
      </c>
      <c r="G21" s="187">
        <v>17640</v>
      </c>
      <c r="H21" s="187">
        <v>18446</v>
      </c>
      <c r="I21" s="187">
        <v>19926</v>
      </c>
      <c r="J21" s="187">
        <v>24756</v>
      </c>
      <c r="K21" s="187">
        <v>33292</v>
      </c>
      <c r="L21" s="188">
        <v>38460</v>
      </c>
    </row>
    <row r="22" spans="1:12" ht="40" customHeight="1" x14ac:dyDescent="0.55000000000000004">
      <c r="A22" s="78" t="s">
        <v>13</v>
      </c>
      <c r="B22" s="142">
        <v>3230</v>
      </c>
      <c r="C22" s="194" t="s">
        <v>62</v>
      </c>
      <c r="D22" s="194" t="s">
        <v>62</v>
      </c>
      <c r="E22" s="194" t="s">
        <v>62</v>
      </c>
      <c r="F22" s="194" t="s">
        <v>62</v>
      </c>
      <c r="G22" s="144">
        <v>2698</v>
      </c>
      <c r="H22" s="144">
        <v>1944</v>
      </c>
      <c r="I22" s="144">
        <v>2707</v>
      </c>
      <c r="J22" s="144">
        <v>3347</v>
      </c>
      <c r="K22" s="144">
        <v>5211</v>
      </c>
      <c r="L22" s="145">
        <v>6241</v>
      </c>
    </row>
    <row r="23" spans="1:12" ht="40" customHeight="1" x14ac:dyDescent="0.55000000000000004">
      <c r="A23" s="79" t="s">
        <v>14</v>
      </c>
      <c r="B23" s="189">
        <v>0.21382645008607454</v>
      </c>
      <c r="C23" s="196" t="s">
        <v>50</v>
      </c>
      <c r="D23" s="196" t="s">
        <v>50</v>
      </c>
      <c r="E23" s="196" t="s">
        <v>50</v>
      </c>
      <c r="F23" s="196" t="s">
        <v>50</v>
      </c>
      <c r="G23" s="190">
        <f>G22/G21</f>
        <v>0.15294784580498866</v>
      </c>
      <c r="H23" s="190">
        <f>H22/H21</f>
        <v>0.10538870215764935</v>
      </c>
      <c r="I23" s="190">
        <f>I22/I21</f>
        <v>0.13585265482284453</v>
      </c>
      <c r="J23" s="190">
        <v>0.13519954758442398</v>
      </c>
      <c r="K23" s="190">
        <v>0.15652408987144059</v>
      </c>
      <c r="L23" s="51">
        <f>L22/L21</f>
        <v>0.162272490899636</v>
      </c>
    </row>
    <row r="24" spans="1:12" ht="20.149999999999999" customHeight="1" x14ac:dyDescent="0.55000000000000004">
      <c r="A24" s="257" t="s">
        <v>65</v>
      </c>
      <c r="B24" s="251"/>
      <c r="C24" s="251"/>
      <c r="D24" s="251"/>
      <c r="E24" s="251"/>
      <c r="F24" s="251"/>
      <c r="G24" s="251"/>
      <c r="H24" s="251"/>
      <c r="I24" s="251"/>
      <c r="J24" s="251"/>
      <c r="K24" s="251"/>
      <c r="L24" s="252"/>
    </row>
    <row r="25" spans="1:12" ht="40" customHeight="1" x14ac:dyDescent="0.55000000000000004">
      <c r="A25" s="77" t="s">
        <v>12</v>
      </c>
      <c r="B25" s="191" t="s">
        <v>50</v>
      </c>
      <c r="C25" s="192" t="s">
        <v>50</v>
      </c>
      <c r="D25" s="192" t="s">
        <v>50</v>
      </c>
      <c r="E25" s="192" t="s">
        <v>50</v>
      </c>
      <c r="F25" s="192" t="s">
        <v>50</v>
      </c>
      <c r="G25" s="187">
        <v>9514</v>
      </c>
      <c r="H25" s="187">
        <v>11304</v>
      </c>
      <c r="I25" s="187">
        <v>8553</v>
      </c>
      <c r="J25" s="187">
        <v>10903</v>
      </c>
      <c r="K25" s="187">
        <v>18448</v>
      </c>
      <c r="L25" s="188">
        <v>27123</v>
      </c>
    </row>
    <row r="26" spans="1:12" ht="40" customHeight="1" x14ac:dyDescent="0.55000000000000004">
      <c r="A26" s="78" t="s">
        <v>13</v>
      </c>
      <c r="B26" s="193" t="s">
        <v>62</v>
      </c>
      <c r="C26" s="194" t="s">
        <v>62</v>
      </c>
      <c r="D26" s="194" t="s">
        <v>62</v>
      </c>
      <c r="E26" s="194" t="s">
        <v>62</v>
      </c>
      <c r="F26" s="194" t="s">
        <v>62</v>
      </c>
      <c r="G26" s="144">
        <v>986</v>
      </c>
      <c r="H26" s="144">
        <v>789</v>
      </c>
      <c r="I26" s="144">
        <v>152</v>
      </c>
      <c r="J26" s="144">
        <v>964</v>
      </c>
      <c r="K26" s="144">
        <v>2984</v>
      </c>
      <c r="L26" s="145">
        <v>4971</v>
      </c>
    </row>
    <row r="27" spans="1:12" ht="40" customHeight="1" x14ac:dyDescent="0.55000000000000004">
      <c r="A27" s="79" t="s">
        <v>14</v>
      </c>
      <c r="B27" s="195" t="s">
        <v>50</v>
      </c>
      <c r="C27" s="196" t="s">
        <v>50</v>
      </c>
      <c r="D27" s="196" t="s">
        <v>50</v>
      </c>
      <c r="E27" s="196" t="s">
        <v>50</v>
      </c>
      <c r="F27" s="196" t="s">
        <v>50</v>
      </c>
      <c r="G27" s="190">
        <f>G26/G25</f>
        <v>0.10363674584822367</v>
      </c>
      <c r="H27" s="190">
        <f>H26/H25</f>
        <v>6.9798301486199574E-2</v>
      </c>
      <c r="I27" s="190">
        <f>I26/I25</f>
        <v>1.7771542148953583E-2</v>
      </c>
      <c r="J27" s="190">
        <v>8.8416032284692289E-2</v>
      </c>
      <c r="K27" s="190">
        <v>0.16175195143104942</v>
      </c>
      <c r="L27" s="151">
        <f>L26/L25</f>
        <v>0.18327618626258158</v>
      </c>
    </row>
    <row r="28" spans="1:12" ht="20.149999999999999" customHeight="1" x14ac:dyDescent="0.55000000000000004">
      <c r="A28" s="258" t="s">
        <v>66</v>
      </c>
      <c r="B28" s="251"/>
      <c r="C28" s="251"/>
      <c r="D28" s="251"/>
      <c r="E28" s="251"/>
      <c r="F28" s="251"/>
      <c r="G28" s="251"/>
      <c r="H28" s="251"/>
      <c r="I28" s="251"/>
      <c r="J28" s="251"/>
      <c r="K28" s="251"/>
      <c r="L28" s="252"/>
    </row>
    <row r="29" spans="1:12" ht="40" customHeight="1" x14ac:dyDescent="0.55000000000000004">
      <c r="A29" s="77" t="s">
        <v>12</v>
      </c>
      <c r="B29" s="197" t="s">
        <v>50</v>
      </c>
      <c r="C29" s="198" t="s">
        <v>50</v>
      </c>
      <c r="D29" s="198" t="s">
        <v>50</v>
      </c>
      <c r="E29" s="198" t="s">
        <v>50</v>
      </c>
      <c r="F29" s="198" t="s">
        <v>50</v>
      </c>
      <c r="G29" s="199">
        <v>38001</v>
      </c>
      <c r="H29" s="199">
        <v>36306</v>
      </c>
      <c r="I29" s="199">
        <v>28260</v>
      </c>
      <c r="J29" s="199">
        <v>35133</v>
      </c>
      <c r="K29" s="199">
        <v>43630</v>
      </c>
      <c r="L29" s="200">
        <v>49844</v>
      </c>
    </row>
    <row r="30" spans="1:12" ht="40" customHeight="1" x14ac:dyDescent="0.55000000000000004">
      <c r="A30" s="78" t="s">
        <v>13</v>
      </c>
      <c r="B30" s="193" t="s">
        <v>62</v>
      </c>
      <c r="C30" s="194" t="s">
        <v>62</v>
      </c>
      <c r="D30" s="194" t="s">
        <v>62</v>
      </c>
      <c r="E30" s="194" t="s">
        <v>62</v>
      </c>
      <c r="F30" s="194" t="s">
        <v>62</v>
      </c>
      <c r="G30" s="144">
        <v>-1348</v>
      </c>
      <c r="H30" s="144">
        <v>810</v>
      </c>
      <c r="I30" s="144">
        <v>467</v>
      </c>
      <c r="J30" s="144">
        <v>1797</v>
      </c>
      <c r="K30" s="144">
        <v>3646</v>
      </c>
      <c r="L30" s="145">
        <v>4400</v>
      </c>
    </row>
    <row r="31" spans="1:12" ht="40" customHeight="1" x14ac:dyDescent="0.55000000000000004">
      <c r="A31" s="79" t="s">
        <v>14</v>
      </c>
      <c r="B31" s="201" t="s">
        <v>50</v>
      </c>
      <c r="C31" s="202" t="s">
        <v>50</v>
      </c>
      <c r="D31" s="202" t="s">
        <v>50</v>
      </c>
      <c r="E31" s="202" t="s">
        <v>50</v>
      </c>
      <c r="F31" s="202" t="s">
        <v>50</v>
      </c>
      <c r="G31" s="203">
        <f>G30/G29</f>
        <v>-3.5472750717086395E-2</v>
      </c>
      <c r="H31" s="203">
        <f>H30/H29</f>
        <v>2.2310361923648984E-2</v>
      </c>
      <c r="I31" s="203">
        <f>I30/I29</f>
        <v>1.6525123849964615E-2</v>
      </c>
      <c r="J31" s="203">
        <v>5.114849286995133E-2</v>
      </c>
      <c r="K31" s="203">
        <v>8.3566353426541368E-2</v>
      </c>
      <c r="L31" s="70">
        <f>L30/L29</f>
        <v>8.8275419308241718E-2</v>
      </c>
    </row>
    <row r="32" spans="1:12" ht="18" x14ac:dyDescent="0.55000000000000004">
      <c r="A32" s="254" t="s">
        <v>52</v>
      </c>
      <c r="B32" s="254"/>
      <c r="C32" s="254"/>
      <c r="D32" s="254"/>
      <c r="E32" s="254"/>
      <c r="F32" s="254"/>
      <c r="G32" s="254"/>
      <c r="H32" s="254"/>
      <c r="I32" s="254"/>
      <c r="J32" s="254"/>
      <c r="K32" s="254"/>
      <c r="L32" s="254"/>
    </row>
    <row r="33" spans="1:12" ht="18" x14ac:dyDescent="0.55000000000000004">
      <c r="A33" s="254" t="s">
        <v>53</v>
      </c>
      <c r="B33" s="254"/>
      <c r="C33" s="254"/>
      <c r="D33" s="254"/>
      <c r="E33" s="254"/>
      <c r="F33" s="254"/>
      <c r="G33" s="254"/>
      <c r="H33" s="254"/>
      <c r="I33" s="254"/>
      <c r="J33" s="254"/>
      <c r="K33" s="254"/>
      <c r="L33" s="254"/>
    </row>
    <row r="34" spans="1:12" ht="18" x14ac:dyDescent="0.55000000000000004">
      <c r="A34" s="255" t="s">
        <v>54</v>
      </c>
      <c r="B34" s="255"/>
      <c r="C34" s="255"/>
      <c r="D34" s="255"/>
      <c r="E34" s="255"/>
      <c r="F34" s="255"/>
      <c r="G34" s="255"/>
      <c r="H34" s="255"/>
      <c r="I34" s="255"/>
      <c r="J34" s="255"/>
      <c r="K34" s="255"/>
      <c r="L34" s="255"/>
    </row>
    <row r="35" spans="1:12" ht="18" x14ac:dyDescent="0.55000000000000004">
      <c r="A35" s="254" t="s">
        <v>67</v>
      </c>
      <c r="B35" s="254"/>
      <c r="C35" s="254"/>
      <c r="D35" s="254"/>
      <c r="E35" s="254"/>
      <c r="F35" s="254"/>
      <c r="G35" s="254"/>
      <c r="H35" s="254"/>
      <c r="I35" s="254"/>
      <c r="J35" s="254"/>
      <c r="K35" s="254"/>
      <c r="L35" s="254"/>
    </row>
    <row r="36" spans="1:12" ht="28.5" customHeight="1" x14ac:dyDescent="0.55000000000000004">
      <c r="A36" s="256" t="s">
        <v>55</v>
      </c>
      <c r="B36" s="256"/>
      <c r="C36" s="256"/>
      <c r="D36" s="256"/>
      <c r="E36" s="256"/>
      <c r="F36" s="256"/>
      <c r="G36" s="256"/>
      <c r="H36" s="256"/>
      <c r="I36" s="256"/>
      <c r="J36" s="256"/>
      <c r="K36" s="256"/>
      <c r="L36" s="256"/>
    </row>
    <row r="37" spans="1:12" ht="34" customHeight="1" x14ac:dyDescent="0.55000000000000004">
      <c r="A37" s="256" t="s">
        <v>56</v>
      </c>
      <c r="B37" s="256"/>
      <c r="C37" s="256"/>
      <c r="D37" s="256"/>
      <c r="E37" s="256"/>
      <c r="F37" s="256"/>
      <c r="G37" s="256"/>
      <c r="H37" s="256"/>
      <c r="I37" s="256"/>
      <c r="J37" s="256"/>
      <c r="K37" s="256"/>
      <c r="L37" s="256"/>
    </row>
    <row r="38" spans="1:12" ht="18" x14ac:dyDescent="0.55000000000000004">
      <c r="A38" s="256" t="s">
        <v>68</v>
      </c>
      <c r="B38" s="256"/>
      <c r="C38" s="256"/>
      <c r="D38" s="256"/>
      <c r="E38" s="256"/>
      <c r="F38" s="256"/>
      <c r="G38" s="256"/>
      <c r="H38" s="256"/>
      <c r="I38" s="256"/>
      <c r="J38" s="256"/>
      <c r="K38" s="256"/>
      <c r="L38" s="256"/>
    </row>
    <row r="39" spans="1:12" ht="20.149999999999999" customHeight="1" x14ac:dyDescent="0.55000000000000004"/>
    <row r="40" spans="1:12" ht="40" customHeight="1" x14ac:dyDescent="0.55000000000000004"/>
    <row r="41" spans="1:12" ht="40" customHeight="1" x14ac:dyDescent="0.55000000000000004"/>
    <row r="42" spans="1:12" ht="40" customHeight="1" x14ac:dyDescent="0.55000000000000004"/>
    <row r="43" spans="1:12" ht="40" customHeight="1" x14ac:dyDescent="0.55000000000000004"/>
    <row r="44" spans="1:12" ht="40" customHeight="1" x14ac:dyDescent="0.55000000000000004"/>
    <row r="45" spans="1:12" ht="40" customHeight="1" x14ac:dyDescent="0.55000000000000004"/>
    <row r="46" spans="1:12" ht="20.149999999999999" customHeight="1" x14ac:dyDescent="0.55000000000000004"/>
    <row r="47" spans="1:12" ht="40" customHeight="1" x14ac:dyDescent="0.55000000000000004"/>
    <row r="48" spans="1:12" ht="40" customHeight="1" x14ac:dyDescent="0.55000000000000004"/>
    <row r="49" ht="40" customHeight="1" x14ac:dyDescent="0.55000000000000004"/>
    <row r="50" ht="40" customHeight="1" x14ac:dyDescent="0.55000000000000004"/>
    <row r="51" ht="20.149999999999999" customHeight="1" x14ac:dyDescent="0.55000000000000004"/>
    <row r="52" ht="40" customHeight="1" x14ac:dyDescent="0.55000000000000004"/>
    <row r="53" ht="40" customHeight="1" x14ac:dyDescent="0.55000000000000004"/>
    <row r="54" ht="40" customHeight="1" x14ac:dyDescent="0.55000000000000004"/>
    <row r="55" ht="20.149999999999999" customHeight="1" x14ac:dyDescent="0.55000000000000004"/>
    <row r="56" ht="20.149999999999999" customHeight="1" x14ac:dyDescent="0.55000000000000004"/>
    <row r="57" ht="20.149999999999999" customHeight="1" x14ac:dyDescent="0.55000000000000004"/>
    <row r="58" ht="20.149999999999999" customHeight="1" x14ac:dyDescent="0.55000000000000004"/>
    <row r="59" ht="20.149999999999999" customHeight="1" x14ac:dyDescent="0.55000000000000004"/>
    <row r="60" ht="20.149999999999999" customHeight="1" x14ac:dyDescent="0.55000000000000004"/>
    <row r="61" ht="20.149999999999999" customHeight="1" x14ac:dyDescent="0.55000000000000004"/>
    <row r="62" ht="20.149999999999999" customHeight="1" x14ac:dyDescent="0.55000000000000004"/>
    <row r="63" ht="20.149999999999999" customHeight="1" x14ac:dyDescent="0.55000000000000004"/>
    <row r="64" ht="20.149999999999999" customHeight="1" x14ac:dyDescent="0.55000000000000004"/>
    <row r="65" ht="20.149999999999999" customHeight="1" x14ac:dyDescent="0.55000000000000004"/>
    <row r="66" ht="20.149999999999999" customHeight="1" x14ac:dyDescent="0.55000000000000004"/>
    <row r="67" s="2" customFormat="1" ht="40" customHeight="1" x14ac:dyDescent="0.55000000000000004"/>
    <row r="68" s="2" customFormat="1" ht="40" customHeight="1" x14ac:dyDescent="0.55000000000000004"/>
    <row r="69" ht="20.149999999999999" customHeight="1" x14ac:dyDescent="0.55000000000000004"/>
  </sheetData>
  <mergeCells count="14">
    <mergeCell ref="A38:L38"/>
    <mergeCell ref="A37:L37"/>
    <mergeCell ref="A36:L36"/>
    <mergeCell ref="A28:L28"/>
    <mergeCell ref="A35:L35"/>
    <mergeCell ref="A34:L34"/>
    <mergeCell ref="A33:L33"/>
    <mergeCell ref="A32:L32"/>
    <mergeCell ref="A8:L8"/>
    <mergeCell ref="A4:L4"/>
    <mergeCell ref="A24:L24"/>
    <mergeCell ref="A20:L20"/>
    <mergeCell ref="A16:L16"/>
    <mergeCell ref="A12:L12"/>
  </mergeCells>
  <phoneticPr fontId="2"/>
  <printOptions horizontalCentered="1"/>
  <pageMargins left="0" right="0" top="0.39370078740157483" bottom="0" header="0" footer="0"/>
  <pageSetup paperSize="9" scale="63" fitToHeight="0" orientation="portrait" r:id="rId1"/>
  <headerFooter>
    <oddHeader>&amp;L&amp;"BIZ UDPゴシック,標準"&amp;F</oddHeader>
    <oddFooter xml:space="preserve">&amp;C&amp;"BIZ UDPゴシック,標準"&amp;P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30"/>
  <sheetViews>
    <sheetView tabSelected="1" view="pageBreakPreview" zoomScale="50" zoomScaleNormal="70" zoomScaleSheetLayoutView="50" workbookViewId="0">
      <selection activeCell="F42" sqref="F42"/>
    </sheetView>
  </sheetViews>
  <sheetFormatPr defaultRowHeight="18" x14ac:dyDescent="0.55000000000000004"/>
  <cols>
    <col min="1" max="1" width="32.83203125" customWidth="1"/>
    <col min="2" max="12" width="10.58203125" customWidth="1"/>
  </cols>
  <sheetData>
    <row r="1" spans="1:12" ht="20.149999999999999" customHeight="1" x14ac:dyDescent="0.55000000000000004">
      <c r="A1" s="81" t="s">
        <v>69</v>
      </c>
    </row>
    <row r="2" spans="1:12" ht="20.149999999999999" customHeight="1" thickBot="1" x14ac:dyDescent="0.6">
      <c r="A2" s="3" t="s">
        <v>70</v>
      </c>
      <c r="B2" s="82"/>
      <c r="C2" s="82"/>
      <c r="D2" s="82"/>
      <c r="E2" s="82"/>
      <c r="F2" s="82"/>
      <c r="G2" s="82"/>
      <c r="H2" s="82"/>
      <c r="I2" s="82"/>
      <c r="J2" s="82"/>
      <c r="K2" s="82"/>
      <c r="L2" s="82"/>
    </row>
    <row r="3" spans="1:12" ht="40" customHeight="1" thickBot="1" x14ac:dyDescent="0.6">
      <c r="A3" s="83" t="s">
        <v>71</v>
      </c>
      <c r="B3" s="74" t="s">
        <v>72</v>
      </c>
      <c r="C3" s="75" t="s">
        <v>37</v>
      </c>
      <c r="D3" s="75" t="s">
        <v>38</v>
      </c>
      <c r="E3" s="75" t="s">
        <v>39</v>
      </c>
      <c r="F3" s="75" t="s">
        <v>40</v>
      </c>
      <c r="G3" s="75" t="s">
        <v>41</v>
      </c>
      <c r="H3" s="75" t="s">
        <v>42</v>
      </c>
      <c r="I3" s="75" t="s">
        <v>43</v>
      </c>
      <c r="J3" s="75" t="s">
        <v>44</v>
      </c>
      <c r="K3" s="75" t="s">
        <v>45</v>
      </c>
      <c r="L3" s="76" t="s">
        <v>46</v>
      </c>
    </row>
    <row r="4" spans="1:12" ht="18.5" thickBot="1" x14ac:dyDescent="0.6">
      <c r="A4" s="259" t="s">
        <v>73</v>
      </c>
      <c r="B4" s="260"/>
      <c r="C4" s="260"/>
      <c r="D4" s="260"/>
      <c r="E4" s="260"/>
      <c r="F4" s="260"/>
      <c r="G4" s="260"/>
      <c r="H4" s="260"/>
      <c r="I4" s="260"/>
      <c r="J4" s="260"/>
      <c r="K4" s="260"/>
      <c r="L4" s="261"/>
    </row>
    <row r="5" spans="1:12" ht="40" customHeight="1" x14ac:dyDescent="0.55000000000000004">
      <c r="A5" s="84" t="s">
        <v>13</v>
      </c>
      <c r="B5" s="142">
        <v>26516</v>
      </c>
      <c r="C5" s="143">
        <v>30466</v>
      </c>
      <c r="D5" s="143">
        <v>27448</v>
      </c>
      <c r="E5" s="143">
        <v>25472</v>
      </c>
      <c r="F5" s="143">
        <v>19571</v>
      </c>
      <c r="G5" s="143">
        <v>10515</v>
      </c>
      <c r="H5" s="143">
        <v>10634</v>
      </c>
      <c r="I5" s="144">
        <v>-3953</v>
      </c>
      <c r="J5" s="144">
        <v>21945</v>
      </c>
      <c r="K5" s="144">
        <v>34002</v>
      </c>
      <c r="L5" s="145">
        <v>54215</v>
      </c>
    </row>
    <row r="6" spans="1:12" ht="40" customHeight="1" x14ac:dyDescent="0.55000000000000004">
      <c r="A6" s="78" t="s">
        <v>14</v>
      </c>
      <c r="B6" s="146">
        <v>0.08</v>
      </c>
      <c r="C6" s="147">
        <v>8.5999999999999993E-2</v>
      </c>
      <c r="D6" s="147">
        <v>6.4000000000000001E-2</v>
      </c>
      <c r="E6" s="147">
        <v>6.4000000000000001E-2</v>
      </c>
      <c r="F6" s="147">
        <v>4.9000000000000002E-2</v>
      </c>
      <c r="G6" s="147">
        <v>2.7194293724234604E-2</v>
      </c>
      <c r="H6" s="147">
        <v>2.8128554424017987E-2</v>
      </c>
      <c r="I6" s="147">
        <v>-1.2023091147987736E-2</v>
      </c>
      <c r="J6" s="147">
        <v>5.4308283962166096E-2</v>
      </c>
      <c r="K6" s="147">
        <v>7.0000000000000007E-2</v>
      </c>
      <c r="L6" s="148">
        <v>9.5000000000000001E-2</v>
      </c>
    </row>
    <row r="7" spans="1:12" ht="40" customHeight="1" thickBot="1" x14ac:dyDescent="0.6">
      <c r="A7" s="149" t="s">
        <v>74</v>
      </c>
      <c r="B7" s="150">
        <v>5.7000000000000002E-2</v>
      </c>
      <c r="C7" s="109">
        <v>6.6000000000000003E-2</v>
      </c>
      <c r="D7" s="109">
        <v>2.9000000000000001E-2</v>
      </c>
      <c r="E7" s="109">
        <v>4.4999999999999998E-2</v>
      </c>
      <c r="F7" s="109">
        <v>3.7999999999999999E-2</v>
      </c>
      <c r="G7" s="109">
        <v>-6.2E-2</v>
      </c>
      <c r="H7" s="109">
        <v>2.3E-2</v>
      </c>
      <c r="I7" s="109">
        <v>-0.05</v>
      </c>
      <c r="J7" s="109">
        <v>2.8000000000000001E-2</v>
      </c>
      <c r="K7" s="109">
        <v>5.1999999999999998E-2</v>
      </c>
      <c r="L7" s="151">
        <v>7.9000000000000001E-2</v>
      </c>
    </row>
    <row r="8" spans="1:12" ht="18.5" thickBot="1" x14ac:dyDescent="0.6">
      <c r="A8" s="258" t="s">
        <v>75</v>
      </c>
      <c r="B8" s="251"/>
      <c r="C8" s="251"/>
      <c r="D8" s="251"/>
      <c r="E8" s="251"/>
      <c r="F8" s="251"/>
      <c r="G8" s="251"/>
      <c r="H8" s="251"/>
      <c r="I8" s="251"/>
      <c r="J8" s="251"/>
      <c r="K8" s="251"/>
      <c r="L8" s="252"/>
    </row>
    <row r="9" spans="1:12" ht="40" customHeight="1" x14ac:dyDescent="0.55000000000000004">
      <c r="A9" s="77" t="s">
        <v>76</v>
      </c>
      <c r="B9" s="152">
        <v>84.96</v>
      </c>
      <c r="C9" s="153">
        <v>117.4</v>
      </c>
      <c r="D9" s="153">
        <v>53.93</v>
      </c>
      <c r="E9" s="153">
        <v>82.01</v>
      </c>
      <c r="F9" s="153">
        <v>68.33</v>
      </c>
      <c r="G9" s="153">
        <v>-107.59</v>
      </c>
      <c r="H9" s="153">
        <v>37.909999999999997</v>
      </c>
      <c r="I9" s="153">
        <v>-88.17</v>
      </c>
      <c r="J9" s="153">
        <v>51.38</v>
      </c>
      <c r="K9" s="153">
        <v>108.6</v>
      </c>
      <c r="L9" s="154">
        <v>192.52</v>
      </c>
    </row>
    <row r="10" spans="1:12" ht="40" customHeight="1" x14ac:dyDescent="0.55000000000000004">
      <c r="A10" s="78" t="s">
        <v>77</v>
      </c>
      <c r="B10" s="155">
        <v>84.56</v>
      </c>
      <c r="C10" s="156">
        <v>110.91</v>
      </c>
      <c r="D10" s="156">
        <v>50.88</v>
      </c>
      <c r="E10" s="156">
        <v>77.41</v>
      </c>
      <c r="F10" s="156">
        <v>64.42</v>
      </c>
      <c r="G10" s="223" t="s">
        <v>62</v>
      </c>
      <c r="H10" s="156">
        <v>37.47</v>
      </c>
      <c r="I10" s="223" t="s">
        <v>62</v>
      </c>
      <c r="J10" s="156">
        <v>51.33</v>
      </c>
      <c r="K10" s="156">
        <v>108.51</v>
      </c>
      <c r="L10" s="157">
        <v>192.37</v>
      </c>
    </row>
    <row r="11" spans="1:12" ht="40" customHeight="1" x14ac:dyDescent="0.55000000000000004">
      <c r="A11" s="78" t="s">
        <v>78</v>
      </c>
      <c r="B11" s="158">
        <v>834.68</v>
      </c>
      <c r="C11" s="17">
        <v>1058.94</v>
      </c>
      <c r="D11" s="17">
        <v>1045.02</v>
      </c>
      <c r="E11" s="17">
        <v>1053.28</v>
      </c>
      <c r="F11" s="17">
        <v>1051.45</v>
      </c>
      <c r="G11" s="17">
        <v>873.43</v>
      </c>
      <c r="H11" s="17">
        <v>830.4</v>
      </c>
      <c r="I11" s="17">
        <v>689.57</v>
      </c>
      <c r="J11" s="17">
        <v>798.08</v>
      </c>
      <c r="K11" s="17">
        <v>931.45</v>
      </c>
      <c r="L11" s="145">
        <v>1117.73</v>
      </c>
    </row>
    <row r="12" spans="1:12" ht="40" customHeight="1" x14ac:dyDescent="0.55000000000000004">
      <c r="A12" s="78" t="s">
        <v>79</v>
      </c>
      <c r="B12" s="159">
        <v>11.2</v>
      </c>
      <c r="C12" s="160">
        <v>12.4</v>
      </c>
      <c r="D12" s="160">
        <v>5.0999999999999996</v>
      </c>
      <c r="E12" s="160">
        <v>7.8</v>
      </c>
      <c r="F12" s="160">
        <v>6.5</v>
      </c>
      <c r="G12" s="160">
        <v>-11.2</v>
      </c>
      <c r="H12" s="160">
        <v>4.5</v>
      </c>
      <c r="I12" s="160">
        <v>-11.6</v>
      </c>
      <c r="J12" s="160">
        <v>6.9</v>
      </c>
      <c r="K12" s="160">
        <v>12.6</v>
      </c>
      <c r="L12" s="148">
        <v>0.188</v>
      </c>
    </row>
    <row r="13" spans="1:12" ht="40" customHeight="1" x14ac:dyDescent="0.55000000000000004">
      <c r="A13" s="78" t="s">
        <v>80</v>
      </c>
      <c r="B13" s="159">
        <v>49.9</v>
      </c>
      <c r="C13" s="160">
        <v>56.49</v>
      </c>
      <c r="D13" s="160">
        <v>57.8</v>
      </c>
      <c r="E13" s="160">
        <v>58.3</v>
      </c>
      <c r="F13" s="160">
        <v>57.3</v>
      </c>
      <c r="G13" s="160">
        <v>54.1</v>
      </c>
      <c r="H13" s="160">
        <v>48</v>
      </c>
      <c r="I13" s="160">
        <v>37.9</v>
      </c>
      <c r="J13" s="160">
        <v>42.2</v>
      </c>
      <c r="K13" s="160">
        <v>40.1</v>
      </c>
      <c r="L13" s="148">
        <v>0.441</v>
      </c>
    </row>
    <row r="14" spans="1:12" ht="40" customHeight="1" thickBot="1" x14ac:dyDescent="0.6">
      <c r="A14" s="149" t="s">
        <v>81</v>
      </c>
      <c r="B14" s="161" t="s">
        <v>82</v>
      </c>
      <c r="C14" s="162" t="s">
        <v>83</v>
      </c>
      <c r="D14" s="162" t="s">
        <v>84</v>
      </c>
      <c r="E14" s="162" t="s">
        <v>85</v>
      </c>
      <c r="F14" s="162" t="s">
        <v>86</v>
      </c>
      <c r="G14" s="162" t="s">
        <v>50</v>
      </c>
      <c r="H14" s="162" t="s">
        <v>87</v>
      </c>
      <c r="I14" s="224" t="s">
        <v>62</v>
      </c>
      <c r="J14" s="162" t="s">
        <v>88</v>
      </c>
      <c r="K14" s="162" t="s">
        <v>89</v>
      </c>
      <c r="L14" s="163" t="s">
        <v>90</v>
      </c>
    </row>
    <row r="15" spans="1:12" ht="20.149999999999999" customHeight="1" thickBot="1" x14ac:dyDescent="0.6">
      <c r="A15" s="258" t="s">
        <v>91</v>
      </c>
      <c r="B15" s="251"/>
      <c r="C15" s="251"/>
      <c r="D15" s="251"/>
      <c r="E15" s="251"/>
      <c r="F15" s="251"/>
      <c r="G15" s="251"/>
      <c r="H15" s="251"/>
      <c r="I15" s="251"/>
      <c r="J15" s="251"/>
      <c r="K15" s="251"/>
      <c r="L15" s="252"/>
    </row>
    <row r="16" spans="1:12" ht="40" customHeight="1" x14ac:dyDescent="0.55000000000000004">
      <c r="A16" s="77" t="s">
        <v>92</v>
      </c>
      <c r="B16" s="164">
        <v>17</v>
      </c>
      <c r="C16" s="165">
        <v>23.5</v>
      </c>
      <c r="D16" s="165">
        <v>23.5</v>
      </c>
      <c r="E16" s="165">
        <v>23.5</v>
      </c>
      <c r="F16" s="165">
        <v>23.5</v>
      </c>
      <c r="G16" s="165">
        <v>24</v>
      </c>
      <c r="H16" s="165">
        <v>30</v>
      </c>
      <c r="I16" s="165">
        <v>24</v>
      </c>
      <c r="J16" s="165">
        <v>24</v>
      </c>
      <c r="K16" s="165">
        <v>40</v>
      </c>
      <c r="L16" s="166">
        <v>65</v>
      </c>
    </row>
    <row r="17" spans="1:12" ht="40" customHeight="1" x14ac:dyDescent="0.55000000000000004">
      <c r="A17" s="78" t="s">
        <v>93</v>
      </c>
      <c r="B17" s="167">
        <v>3227</v>
      </c>
      <c r="C17" s="101">
        <v>4460</v>
      </c>
      <c r="D17" s="101">
        <v>4460</v>
      </c>
      <c r="E17" s="101">
        <v>4460</v>
      </c>
      <c r="F17" s="101">
        <v>4460</v>
      </c>
      <c r="G17" s="101">
        <v>4528</v>
      </c>
      <c r="H17" s="101">
        <v>5555.1171539999996</v>
      </c>
      <c r="I17" s="101">
        <v>4393</v>
      </c>
      <c r="J17" s="101">
        <v>4392</v>
      </c>
      <c r="K17" s="101">
        <v>7326</v>
      </c>
      <c r="L17" s="145">
        <v>11910.282724999999</v>
      </c>
    </row>
    <row r="18" spans="1:12" ht="40" customHeight="1" x14ac:dyDescent="0.55000000000000004">
      <c r="A18" s="78" t="s">
        <v>94</v>
      </c>
      <c r="B18" s="159">
        <v>20</v>
      </c>
      <c r="C18" s="160">
        <v>20</v>
      </c>
      <c r="D18" s="160">
        <v>43.6</v>
      </c>
      <c r="E18" s="160">
        <v>28.7</v>
      </c>
      <c r="F18" s="160">
        <v>34.4</v>
      </c>
      <c r="G18" s="225" t="s">
        <v>50</v>
      </c>
      <c r="H18" s="168">
        <v>79.099999999999994</v>
      </c>
      <c r="I18" s="225" t="s">
        <v>62</v>
      </c>
      <c r="J18" s="168">
        <v>46.7</v>
      </c>
      <c r="K18" s="168">
        <v>36.799999999999997</v>
      </c>
      <c r="L18" s="148">
        <v>0.33800000000000002</v>
      </c>
    </row>
    <row r="19" spans="1:12" ht="40" customHeight="1" thickBot="1" x14ac:dyDescent="0.6">
      <c r="A19" s="149" t="s">
        <v>95</v>
      </c>
      <c r="B19" s="169">
        <v>2.2000000000000002</v>
      </c>
      <c r="C19" s="170">
        <v>2.5</v>
      </c>
      <c r="D19" s="170">
        <v>2.2000000000000002</v>
      </c>
      <c r="E19" s="170">
        <v>2.2000000000000002</v>
      </c>
      <c r="F19" s="170">
        <v>2.2000000000000002</v>
      </c>
      <c r="G19" s="170">
        <v>2.5</v>
      </c>
      <c r="H19" s="170">
        <v>3.5</v>
      </c>
      <c r="I19" s="170">
        <v>3.2</v>
      </c>
      <c r="J19" s="170">
        <v>3.2</v>
      </c>
      <c r="K19" s="170">
        <v>4.5999999999999996</v>
      </c>
      <c r="L19" s="151">
        <v>5.8999999999999997E-2</v>
      </c>
    </row>
    <row r="20" spans="1:12" ht="20.149999999999999" customHeight="1" thickBot="1" x14ac:dyDescent="0.6">
      <c r="A20" s="258" t="s">
        <v>96</v>
      </c>
      <c r="B20" s="251"/>
      <c r="C20" s="251"/>
      <c r="D20" s="251"/>
      <c r="E20" s="251"/>
      <c r="F20" s="251"/>
      <c r="G20" s="251"/>
      <c r="H20" s="251"/>
      <c r="I20" s="251"/>
      <c r="J20" s="251"/>
      <c r="K20" s="251"/>
      <c r="L20" s="252"/>
    </row>
    <row r="21" spans="1:12" ht="40" customHeight="1" x14ac:dyDescent="0.55000000000000004">
      <c r="A21" s="77" t="s">
        <v>97</v>
      </c>
      <c r="B21" s="171">
        <v>50</v>
      </c>
      <c r="C21" s="172">
        <v>48</v>
      </c>
      <c r="D21" s="172">
        <v>46</v>
      </c>
      <c r="E21" s="172">
        <v>51</v>
      </c>
      <c r="F21" s="172">
        <v>54</v>
      </c>
      <c r="G21" s="172">
        <v>52</v>
      </c>
      <c r="H21" s="172">
        <v>56</v>
      </c>
      <c r="I21" s="172">
        <v>62</v>
      </c>
      <c r="J21" s="172">
        <v>66</v>
      </c>
      <c r="K21" s="172">
        <v>66</v>
      </c>
      <c r="L21" s="173">
        <v>57</v>
      </c>
    </row>
    <row r="22" spans="1:12" ht="40" customHeight="1" x14ac:dyDescent="0.55000000000000004">
      <c r="A22" s="78" t="s">
        <v>98</v>
      </c>
      <c r="B22" s="167">
        <v>6585</v>
      </c>
      <c r="C22" s="101">
        <v>7484</v>
      </c>
      <c r="D22" s="101">
        <v>7263</v>
      </c>
      <c r="E22" s="101">
        <v>7864</v>
      </c>
      <c r="F22" s="101">
        <v>8586</v>
      </c>
      <c r="G22" s="101">
        <v>8823</v>
      </c>
      <c r="H22" s="101">
        <v>9039</v>
      </c>
      <c r="I22" s="101">
        <v>8904</v>
      </c>
      <c r="J22" s="101">
        <v>8861</v>
      </c>
      <c r="K22" s="101">
        <v>8886</v>
      </c>
      <c r="L22" s="145">
        <v>8927</v>
      </c>
    </row>
    <row r="23" spans="1:12" ht="40" customHeight="1" thickBot="1" x14ac:dyDescent="0.6">
      <c r="A23" s="79" t="s">
        <v>99</v>
      </c>
      <c r="B23" s="174">
        <v>7.3999999999999996E-2</v>
      </c>
      <c r="C23" s="111">
        <v>0.107</v>
      </c>
      <c r="D23" s="111">
        <v>0.13</v>
      </c>
      <c r="E23" s="111">
        <v>0.19500000000000001</v>
      </c>
      <c r="F23" s="111">
        <v>0.214</v>
      </c>
      <c r="G23" s="111">
        <v>0.25700000000000001</v>
      </c>
      <c r="H23" s="111">
        <v>0.30399999999999999</v>
      </c>
      <c r="I23" s="111">
        <v>0.33200000000000002</v>
      </c>
      <c r="J23" s="111">
        <v>0.32800000000000001</v>
      </c>
      <c r="K23" s="111">
        <v>0.35699999999999998</v>
      </c>
      <c r="L23" s="70">
        <v>0.38400000000000001</v>
      </c>
    </row>
    <row r="24" spans="1:12" ht="18.5" thickBot="1" x14ac:dyDescent="0.6">
      <c r="A24" s="1"/>
      <c r="B24" s="175"/>
      <c r="C24" s="176"/>
      <c r="D24" s="176"/>
      <c r="E24" s="176"/>
      <c r="F24" s="176"/>
      <c r="G24" s="176"/>
      <c r="H24" s="176"/>
      <c r="I24" s="176"/>
      <c r="J24" s="176"/>
      <c r="K24" s="176"/>
      <c r="L24" s="177"/>
    </row>
    <row r="25" spans="1:12" x14ac:dyDescent="0.55000000000000004">
      <c r="A25" s="262" t="s">
        <v>100</v>
      </c>
      <c r="B25" s="231" t="s">
        <v>3</v>
      </c>
      <c r="C25" s="232"/>
      <c r="D25" s="232"/>
      <c r="E25" s="232"/>
      <c r="F25" s="233" t="s">
        <v>4</v>
      </c>
      <c r="G25" s="233"/>
      <c r="H25" s="233"/>
      <c r="I25" s="234"/>
      <c r="J25" s="176"/>
      <c r="K25" s="176"/>
      <c r="L25" s="177"/>
    </row>
    <row r="26" spans="1:12" ht="18.5" thickBot="1" x14ac:dyDescent="0.6">
      <c r="A26" s="263"/>
      <c r="B26" s="8" t="s">
        <v>5</v>
      </c>
      <c r="C26" s="7" t="s">
        <v>6</v>
      </c>
      <c r="D26" s="7" t="s">
        <v>8</v>
      </c>
      <c r="E26" s="7" t="s">
        <v>9</v>
      </c>
      <c r="F26" s="7" t="s">
        <v>5</v>
      </c>
      <c r="G26" s="7" t="s">
        <v>6</v>
      </c>
      <c r="H26" s="7" t="s">
        <v>8</v>
      </c>
      <c r="I26" s="9" t="s">
        <v>9</v>
      </c>
      <c r="J26" s="176"/>
      <c r="K26" s="176"/>
      <c r="L26" s="177"/>
    </row>
    <row r="27" spans="1:12" x14ac:dyDescent="0.55000000000000004">
      <c r="A27" s="85" t="s">
        <v>101</v>
      </c>
      <c r="B27" s="178">
        <v>117.01</v>
      </c>
      <c r="C27" s="179">
        <v>123.29</v>
      </c>
      <c r="D27" s="179">
        <v>127.94</v>
      </c>
      <c r="E27" s="179">
        <v>130.54</v>
      </c>
      <c r="F27" s="179">
        <v>132.77000000000001</v>
      </c>
      <c r="G27" s="179">
        <v>135.97999999999999</v>
      </c>
      <c r="H27" s="179">
        <v>138.85</v>
      </c>
      <c r="I27" s="86">
        <v>140.44999999999999</v>
      </c>
      <c r="J27" s="176"/>
      <c r="K27" s="176"/>
      <c r="L27" s="177"/>
    </row>
    <row r="28" spans="1:12" x14ac:dyDescent="0.55000000000000004">
      <c r="A28" s="87" t="s">
        <v>102</v>
      </c>
      <c r="B28" s="180">
        <v>131.41999999999999</v>
      </c>
      <c r="C28" s="181">
        <v>134.80000000000001</v>
      </c>
      <c r="D28" s="181">
        <v>136</v>
      </c>
      <c r="E28" s="181">
        <v>137.76</v>
      </c>
      <c r="F28" s="181">
        <v>142.88999999999999</v>
      </c>
      <c r="G28" s="181">
        <v>147.19</v>
      </c>
      <c r="H28" s="181">
        <v>150.34</v>
      </c>
      <c r="I28" s="88">
        <v>152.24</v>
      </c>
      <c r="J28" s="176"/>
      <c r="K28" s="176"/>
      <c r="L28" s="177"/>
    </row>
    <row r="29" spans="1:12" ht="18.5" thickBot="1" x14ac:dyDescent="0.6">
      <c r="A29" s="89" t="s">
        <v>103</v>
      </c>
      <c r="B29" s="182">
        <v>18.43</v>
      </c>
      <c r="C29" s="183">
        <v>19</v>
      </c>
      <c r="D29" s="183">
        <v>19.309999999999999</v>
      </c>
      <c r="E29" s="183">
        <v>19.38</v>
      </c>
      <c r="F29" s="183">
        <v>19.34</v>
      </c>
      <c r="G29" s="183">
        <v>19.54</v>
      </c>
      <c r="H29" s="183">
        <v>19.71</v>
      </c>
      <c r="I29" s="90">
        <v>19.86</v>
      </c>
      <c r="J29" s="184"/>
      <c r="K29" s="185"/>
      <c r="L29" s="185"/>
    </row>
    <row r="30" spans="1:12" x14ac:dyDescent="0.55000000000000004">
      <c r="A30" s="185"/>
      <c r="B30" s="175"/>
      <c r="C30" s="184"/>
      <c r="D30" s="184"/>
      <c r="E30" s="184"/>
      <c r="F30" s="184"/>
      <c r="G30" s="184"/>
      <c r="H30" s="184"/>
      <c r="I30" s="184"/>
      <c r="J30" s="184"/>
      <c r="K30" s="185"/>
      <c r="L30" s="185"/>
    </row>
  </sheetData>
  <mergeCells count="7">
    <mergeCell ref="A8:L8"/>
    <mergeCell ref="A15:L15"/>
    <mergeCell ref="A20:L20"/>
    <mergeCell ref="A4:L4"/>
    <mergeCell ref="A25:A26"/>
    <mergeCell ref="B25:E25"/>
    <mergeCell ref="F25:I25"/>
  </mergeCells>
  <phoneticPr fontId="2"/>
  <printOptions horizontalCentered="1"/>
  <pageMargins left="0" right="0" top="0.39370078740157483" bottom="0" header="0" footer="0"/>
  <pageSetup paperSize="9" scale="61" fitToHeight="0" orientation="portrait" r:id="rId1"/>
  <headerFooter>
    <oddHeader>&amp;L&amp;"BIZ UDPゴシック,標準"&amp;F</oddHeader>
    <oddFooter xml:space="preserve">&amp;C&amp;"BIZ UDPゴシック,標準"&amp;P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a8bd2ee-35bd-4fab-83b1-d514577b6d09" xsi:nil="true"/>
    <lcf76f155ced4ddcb4097134ff3c332f xmlns="d5fe2947-6dd6-4465-a7a8-509e043d4134">
      <Terms xmlns="http://schemas.microsoft.com/office/infopath/2007/PartnerControls"/>
    </lcf76f155ced4ddcb4097134ff3c332f>
    <SharedWithUsers xmlns="7a8bd2ee-35bd-4fab-83b1-d514577b6d09">
      <UserInfo>
        <DisplayName>Hinako Saeki</DisplayName>
        <AccountId>6</AccountId>
        <AccountType/>
      </UserInfo>
      <UserInfo>
        <DisplayName>Masahiko Kitano</DisplayName>
        <AccountId>28</AccountId>
        <AccountType/>
      </UserInfo>
      <UserInfo>
        <DisplayName>Mizuki Noguchi</DisplayName>
        <AccountId>11</AccountId>
        <AccountType/>
      </UserInfo>
      <UserInfo>
        <DisplayName>Ayano Tanaka</DisplayName>
        <AccountId>60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818C747FCBDA439802F2F715474E46" ma:contentTypeVersion="15" ma:contentTypeDescription="新しいドキュメントを作成します。" ma:contentTypeScope="" ma:versionID="51f988dfcb97721f0ccacfb8b35f83ff">
  <xsd:schema xmlns:xsd="http://www.w3.org/2001/XMLSchema" xmlns:xs="http://www.w3.org/2001/XMLSchema" xmlns:p="http://schemas.microsoft.com/office/2006/metadata/properties" xmlns:ns2="d5fe2947-6dd6-4465-a7a8-509e043d4134" xmlns:ns3="7a8bd2ee-35bd-4fab-83b1-d514577b6d09" targetNamespace="http://schemas.microsoft.com/office/2006/metadata/properties" ma:root="true" ma:fieldsID="f19525c00a069d0bab9790a226a8eaa0" ns2:_="" ns3:_="">
    <xsd:import namespace="d5fe2947-6dd6-4465-a7a8-509e043d4134"/>
    <xsd:import namespace="7a8bd2ee-35bd-4fab-83b1-d514577b6d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fe2947-6dd6-4465-a7a8-509e043d41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7d0aae95-5b74-4b3a-b356-ee4d63b75da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a8bd2ee-35bd-4fab-83b1-d514577b6d09"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ac95b56f-3614-4672-bcd1-0b04c0b0ff7c}" ma:internalName="TaxCatchAll" ma:showField="CatchAllData" ma:web="7a8bd2ee-35bd-4fab-83b1-d514577b6d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DF0EEF-C127-4D21-AA3E-3959EE55DCCD}">
  <ds:schemaRefs>
    <ds:schemaRef ds:uri="http://schemas.microsoft.com/sharepoint/v3/contenttype/forms"/>
  </ds:schemaRefs>
</ds:datastoreItem>
</file>

<file path=customXml/itemProps2.xml><?xml version="1.0" encoding="utf-8"?>
<ds:datastoreItem xmlns:ds="http://schemas.openxmlformats.org/officeDocument/2006/customXml" ds:itemID="{F3F132AE-0CD1-49FB-BFF6-A8C1E6588188}">
  <ds:schemaRefs>
    <ds:schemaRef ds:uri="http://schemas.microsoft.com/office/2006/metadata/properties"/>
    <ds:schemaRef ds:uri="http://schemas.microsoft.com/office/infopath/2007/PartnerControls"/>
    <ds:schemaRef ds:uri="7a8bd2ee-35bd-4fab-83b1-d514577b6d09"/>
    <ds:schemaRef ds:uri="d5fe2947-6dd6-4465-a7a8-509e043d4134"/>
  </ds:schemaRefs>
</ds:datastoreItem>
</file>

<file path=customXml/itemProps3.xml><?xml version="1.0" encoding="utf-8"?>
<ds:datastoreItem xmlns:ds="http://schemas.openxmlformats.org/officeDocument/2006/customXml" ds:itemID="{8F1C7E31-397E-43BC-9F11-4367FCDA0A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fe2947-6dd6-4465-a7a8-509e043d4134"/>
    <ds:schemaRef ds:uri="7a8bd2ee-35bd-4fab-83b1-d514577b6d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1-2</vt:lpstr>
      <vt:lpstr>3</vt:lpstr>
      <vt:lpstr>4-5</vt:lpstr>
      <vt:lpstr>6</vt:lpstr>
      <vt:lpstr>7</vt:lpstr>
      <vt:lpstr>'1-2'!Print_Area</vt:lpstr>
      <vt:lpstr>'3'!Print_Area</vt:lpstr>
      <vt:lpstr>'4-5'!Print_Area</vt:lpstr>
      <vt:lpstr>'6'!Print_Area</vt:lpstr>
      <vt:lpstr>'7'!Print_Area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Ayano Tanaka</dc:creator>
  <cp:keywords/>
  <dc:description/>
  <cp:lastModifiedBy>Mizuki Noguchi</cp:lastModifiedBy>
  <cp:revision/>
  <dcterms:created xsi:type="dcterms:W3CDTF">2024-01-31T01:55:37Z</dcterms:created>
  <dcterms:modified xsi:type="dcterms:W3CDTF">2024-02-09T13:09:02Z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0x010100D0818C747FCBDA439802F2F715474E46</vt:lpwstr>
  </property>
  <property fmtid="{D5CDD505-2E9C-101B-9397-08002B2CF9AE}" pid="3" name="MediaServiceImageTags">
    <vt:lpwstr/>
  </property>
</Properties>
</file>